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2024-waste_treatment\Microbiology\2022_NZBIDA\Keeble farm data\"/>
    </mc:Choice>
  </mc:AlternateContent>
  <xr:revisionPtr revIDLastSave="0" documentId="13_ncr:1_{7FF0BAE2-EEF7-4357-B469-08FCB5312285}" xr6:coauthVersionLast="47" xr6:coauthVersionMax="47" xr10:uidLastSave="{00000000-0000-0000-0000-000000000000}"/>
  <bookViews>
    <workbookView xWindow="28680" yWindow="-120" windowWidth="29040" windowHeight="15720" xr2:uid="{8D173B47-0C66-4EFB-BA2B-C2F3A85CABDE}"/>
  </bookViews>
  <sheets>
    <sheet name="Sheet1" sheetId="2" r:id="rId1"/>
  </sheets>
  <definedNames>
    <definedName name="_xlnm._FilterDatabase" localSheetId="0" hidden="1">Sheet1!$A$1:$I$394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8" i="2" l="1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137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9" i="2"/>
  <c r="S180" i="2"/>
  <c r="S181" i="2"/>
  <c r="S182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7" i="2"/>
  <c r="S278" i="2"/>
  <c r="S279" i="2"/>
  <c r="S280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107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R2" i="2"/>
  <c r="R3" i="2"/>
  <c r="R4" i="2"/>
  <c r="R5" i="2"/>
  <c r="R6" i="2"/>
  <c r="R7" i="2"/>
  <c r="R8" i="2"/>
  <c r="R9" i="2"/>
  <c r="R10" i="2"/>
  <c r="R11" i="2"/>
  <c r="R12" i="2"/>
  <c r="R13" i="2"/>
  <c r="W13" i="2"/>
  <c r="V13" i="2"/>
  <c r="U13" i="2"/>
  <c r="T13" i="2"/>
  <c r="Q13" i="2"/>
  <c r="P13" i="2"/>
  <c r="O13" i="2"/>
  <c r="N13" i="2"/>
  <c r="M13" i="2"/>
  <c r="W394" i="2"/>
  <c r="V394" i="2"/>
  <c r="T394" i="2"/>
  <c r="R394" i="2"/>
  <c r="Q394" i="2"/>
  <c r="P394" i="2"/>
  <c r="O394" i="2"/>
  <c r="N394" i="2"/>
  <c r="M394" i="2"/>
  <c r="W393" i="2"/>
  <c r="V393" i="2"/>
  <c r="T393" i="2"/>
  <c r="R393" i="2"/>
  <c r="Q393" i="2"/>
  <c r="P393" i="2"/>
  <c r="O393" i="2"/>
  <c r="N393" i="2"/>
  <c r="M393" i="2"/>
  <c r="W392" i="2"/>
  <c r="V392" i="2"/>
  <c r="T392" i="2"/>
  <c r="R392" i="2"/>
  <c r="Q392" i="2"/>
  <c r="P392" i="2"/>
  <c r="O392" i="2"/>
  <c r="N392" i="2"/>
  <c r="M392" i="2"/>
  <c r="W391" i="2"/>
  <c r="V391" i="2"/>
  <c r="T391" i="2"/>
  <c r="R391" i="2"/>
  <c r="Q391" i="2"/>
  <c r="P391" i="2"/>
  <c r="O391" i="2"/>
  <c r="N391" i="2"/>
  <c r="M391" i="2"/>
  <c r="W390" i="2"/>
  <c r="V390" i="2"/>
  <c r="T390" i="2"/>
  <c r="R390" i="2"/>
  <c r="Q390" i="2"/>
  <c r="P390" i="2"/>
  <c r="O390" i="2"/>
  <c r="N390" i="2"/>
  <c r="M390" i="2"/>
  <c r="W389" i="2"/>
  <c r="V389" i="2"/>
  <c r="T389" i="2"/>
  <c r="R389" i="2"/>
  <c r="Q389" i="2"/>
  <c r="P389" i="2"/>
  <c r="O389" i="2"/>
  <c r="N389" i="2"/>
  <c r="M389" i="2"/>
  <c r="W388" i="2"/>
  <c r="V388" i="2"/>
  <c r="T388" i="2"/>
  <c r="R388" i="2"/>
  <c r="Q388" i="2"/>
  <c r="P388" i="2"/>
  <c r="O388" i="2"/>
  <c r="N388" i="2"/>
  <c r="M388" i="2"/>
  <c r="W387" i="2"/>
  <c r="V387" i="2"/>
  <c r="T387" i="2"/>
  <c r="R387" i="2"/>
  <c r="Q387" i="2"/>
  <c r="P387" i="2"/>
  <c r="O387" i="2"/>
  <c r="N387" i="2"/>
  <c r="M387" i="2"/>
  <c r="W386" i="2"/>
  <c r="V386" i="2"/>
  <c r="T386" i="2"/>
  <c r="R386" i="2"/>
  <c r="Q386" i="2"/>
  <c r="P386" i="2"/>
  <c r="O386" i="2"/>
  <c r="N386" i="2"/>
  <c r="M386" i="2"/>
  <c r="W385" i="2"/>
  <c r="V385" i="2"/>
  <c r="T385" i="2"/>
  <c r="R385" i="2"/>
  <c r="Q385" i="2"/>
  <c r="P385" i="2"/>
  <c r="O385" i="2"/>
  <c r="N385" i="2"/>
  <c r="M385" i="2"/>
  <c r="W384" i="2"/>
  <c r="V384" i="2"/>
  <c r="T384" i="2"/>
  <c r="R384" i="2"/>
  <c r="Q384" i="2"/>
  <c r="P384" i="2"/>
  <c r="O384" i="2"/>
  <c r="N384" i="2"/>
  <c r="M384" i="2"/>
  <c r="W383" i="2"/>
  <c r="V383" i="2"/>
  <c r="T383" i="2"/>
  <c r="R383" i="2"/>
  <c r="Q383" i="2"/>
  <c r="P383" i="2"/>
  <c r="O383" i="2"/>
  <c r="N383" i="2"/>
  <c r="M383" i="2"/>
  <c r="W382" i="2"/>
  <c r="V382" i="2"/>
  <c r="T382" i="2"/>
  <c r="R382" i="2"/>
  <c r="Q382" i="2"/>
  <c r="P382" i="2"/>
  <c r="O382" i="2"/>
  <c r="N382" i="2"/>
  <c r="M382" i="2"/>
  <c r="W381" i="2"/>
  <c r="V381" i="2"/>
  <c r="T381" i="2"/>
  <c r="R381" i="2"/>
  <c r="Q381" i="2"/>
  <c r="P381" i="2"/>
  <c r="O381" i="2"/>
  <c r="N381" i="2"/>
  <c r="M381" i="2"/>
  <c r="W380" i="2"/>
  <c r="V380" i="2"/>
  <c r="T380" i="2"/>
  <c r="R380" i="2"/>
  <c r="Q380" i="2"/>
  <c r="P380" i="2"/>
  <c r="O380" i="2"/>
  <c r="N380" i="2"/>
  <c r="M380" i="2"/>
  <c r="W379" i="2"/>
  <c r="V379" i="2"/>
  <c r="T379" i="2"/>
  <c r="R379" i="2"/>
  <c r="Q379" i="2"/>
  <c r="P379" i="2"/>
  <c r="O379" i="2"/>
  <c r="N379" i="2"/>
  <c r="M379" i="2"/>
  <c r="W378" i="2"/>
  <c r="V378" i="2"/>
  <c r="T378" i="2"/>
  <c r="R378" i="2"/>
  <c r="Q378" i="2"/>
  <c r="P378" i="2"/>
  <c r="O378" i="2"/>
  <c r="N378" i="2"/>
  <c r="M378" i="2"/>
  <c r="W377" i="2"/>
  <c r="V377" i="2"/>
  <c r="T377" i="2"/>
  <c r="R377" i="2"/>
  <c r="Q377" i="2"/>
  <c r="P377" i="2"/>
  <c r="O377" i="2"/>
  <c r="N377" i="2"/>
  <c r="M377" i="2"/>
  <c r="W376" i="2"/>
  <c r="V376" i="2"/>
  <c r="T376" i="2"/>
  <c r="R376" i="2"/>
  <c r="Q376" i="2"/>
  <c r="P376" i="2"/>
  <c r="O376" i="2"/>
  <c r="N376" i="2"/>
  <c r="M376" i="2"/>
  <c r="W375" i="2"/>
  <c r="V375" i="2"/>
  <c r="T375" i="2"/>
  <c r="R375" i="2"/>
  <c r="Q375" i="2"/>
  <c r="P375" i="2"/>
  <c r="O375" i="2"/>
  <c r="N375" i="2"/>
  <c r="M375" i="2"/>
  <c r="W374" i="2"/>
  <c r="V374" i="2"/>
  <c r="T374" i="2"/>
  <c r="R374" i="2"/>
  <c r="Q374" i="2"/>
  <c r="P374" i="2"/>
  <c r="O374" i="2"/>
  <c r="N374" i="2"/>
  <c r="M374" i="2"/>
  <c r="W373" i="2"/>
  <c r="V373" i="2"/>
  <c r="T373" i="2"/>
  <c r="R373" i="2"/>
  <c r="Q373" i="2"/>
  <c r="P373" i="2"/>
  <c r="O373" i="2"/>
  <c r="N373" i="2"/>
  <c r="M373" i="2"/>
  <c r="W372" i="2"/>
  <c r="V372" i="2"/>
  <c r="T372" i="2"/>
  <c r="R372" i="2"/>
  <c r="Q372" i="2"/>
  <c r="P372" i="2"/>
  <c r="O372" i="2"/>
  <c r="N372" i="2"/>
  <c r="M372" i="2"/>
  <c r="W371" i="2"/>
  <c r="V371" i="2"/>
  <c r="T371" i="2"/>
  <c r="R371" i="2"/>
  <c r="Q371" i="2"/>
  <c r="P371" i="2"/>
  <c r="O371" i="2"/>
  <c r="N371" i="2"/>
  <c r="M371" i="2"/>
  <c r="W370" i="2"/>
  <c r="V370" i="2"/>
  <c r="T370" i="2"/>
  <c r="R370" i="2"/>
  <c r="Q370" i="2"/>
  <c r="P370" i="2"/>
  <c r="O370" i="2"/>
  <c r="N370" i="2"/>
  <c r="M370" i="2"/>
  <c r="W369" i="2"/>
  <c r="V369" i="2"/>
  <c r="T369" i="2"/>
  <c r="R369" i="2"/>
  <c r="Q369" i="2"/>
  <c r="P369" i="2"/>
  <c r="O369" i="2"/>
  <c r="N369" i="2"/>
  <c r="M369" i="2"/>
  <c r="W368" i="2"/>
  <c r="V368" i="2"/>
  <c r="T368" i="2"/>
  <c r="R368" i="2"/>
  <c r="Q368" i="2"/>
  <c r="P368" i="2"/>
  <c r="O368" i="2"/>
  <c r="N368" i="2"/>
  <c r="M368" i="2"/>
  <c r="W367" i="2"/>
  <c r="V367" i="2"/>
  <c r="T367" i="2"/>
  <c r="R367" i="2"/>
  <c r="Q367" i="2"/>
  <c r="P367" i="2"/>
  <c r="O367" i="2"/>
  <c r="N367" i="2"/>
  <c r="M367" i="2"/>
  <c r="W366" i="2"/>
  <c r="V366" i="2"/>
  <c r="T366" i="2"/>
  <c r="R366" i="2"/>
  <c r="Q366" i="2"/>
  <c r="P366" i="2"/>
  <c r="O366" i="2"/>
  <c r="N366" i="2"/>
  <c r="M366" i="2"/>
  <c r="W365" i="2"/>
  <c r="V365" i="2"/>
  <c r="T365" i="2"/>
  <c r="R365" i="2"/>
  <c r="Q365" i="2"/>
  <c r="P365" i="2"/>
  <c r="O365" i="2"/>
  <c r="N365" i="2"/>
  <c r="M365" i="2"/>
  <c r="W364" i="2"/>
  <c r="V364" i="2"/>
  <c r="T364" i="2"/>
  <c r="R364" i="2"/>
  <c r="Q364" i="2"/>
  <c r="P364" i="2"/>
  <c r="O364" i="2"/>
  <c r="N364" i="2"/>
  <c r="M364" i="2"/>
  <c r="W363" i="2"/>
  <c r="V363" i="2"/>
  <c r="T363" i="2"/>
  <c r="R363" i="2"/>
  <c r="Q363" i="2"/>
  <c r="P363" i="2"/>
  <c r="O363" i="2"/>
  <c r="N363" i="2"/>
  <c r="M363" i="2"/>
  <c r="W362" i="2"/>
  <c r="V362" i="2"/>
  <c r="T362" i="2"/>
  <c r="R362" i="2"/>
  <c r="Q362" i="2"/>
  <c r="P362" i="2"/>
  <c r="O362" i="2"/>
  <c r="N362" i="2"/>
  <c r="M362" i="2"/>
  <c r="W361" i="2"/>
  <c r="V361" i="2"/>
  <c r="T361" i="2"/>
  <c r="R361" i="2"/>
  <c r="Q361" i="2"/>
  <c r="P361" i="2"/>
  <c r="O361" i="2"/>
  <c r="N361" i="2"/>
  <c r="M361" i="2"/>
  <c r="W360" i="2"/>
  <c r="V360" i="2"/>
  <c r="T360" i="2"/>
  <c r="R360" i="2"/>
  <c r="Q360" i="2"/>
  <c r="P360" i="2"/>
  <c r="O360" i="2"/>
  <c r="N360" i="2"/>
  <c r="M360" i="2"/>
  <c r="W359" i="2"/>
  <c r="V359" i="2"/>
  <c r="T359" i="2"/>
  <c r="R359" i="2"/>
  <c r="Q359" i="2"/>
  <c r="P359" i="2"/>
  <c r="O359" i="2"/>
  <c r="N359" i="2"/>
  <c r="M359" i="2"/>
  <c r="W358" i="2"/>
  <c r="V358" i="2"/>
  <c r="T358" i="2"/>
  <c r="R358" i="2"/>
  <c r="Q358" i="2"/>
  <c r="P358" i="2"/>
  <c r="O358" i="2"/>
  <c r="N358" i="2"/>
  <c r="M358" i="2"/>
  <c r="W357" i="2"/>
  <c r="V357" i="2"/>
  <c r="T357" i="2"/>
  <c r="R357" i="2"/>
  <c r="Q357" i="2"/>
  <c r="P357" i="2"/>
  <c r="O357" i="2"/>
  <c r="N357" i="2"/>
  <c r="M357" i="2"/>
  <c r="W356" i="2"/>
  <c r="V356" i="2"/>
  <c r="T356" i="2"/>
  <c r="R356" i="2"/>
  <c r="Q356" i="2"/>
  <c r="P356" i="2"/>
  <c r="O356" i="2"/>
  <c r="N356" i="2"/>
  <c r="M356" i="2"/>
  <c r="AB355" i="2"/>
  <c r="W355" i="2"/>
  <c r="V355" i="2"/>
  <c r="T355" i="2"/>
  <c r="R355" i="2"/>
  <c r="Q355" i="2"/>
  <c r="P355" i="2"/>
  <c r="O355" i="2"/>
  <c r="N355" i="2"/>
  <c r="M355" i="2"/>
  <c r="W354" i="2"/>
  <c r="V354" i="2"/>
  <c r="T354" i="2"/>
  <c r="R354" i="2"/>
  <c r="Q354" i="2"/>
  <c r="P354" i="2"/>
  <c r="O354" i="2"/>
  <c r="N354" i="2"/>
  <c r="M354" i="2"/>
  <c r="W353" i="2"/>
  <c r="V353" i="2"/>
  <c r="T353" i="2"/>
  <c r="R353" i="2"/>
  <c r="Q353" i="2"/>
  <c r="P353" i="2"/>
  <c r="O353" i="2"/>
  <c r="N353" i="2"/>
  <c r="M353" i="2"/>
  <c r="W352" i="2"/>
  <c r="V352" i="2"/>
  <c r="T352" i="2"/>
  <c r="R352" i="2"/>
  <c r="Q352" i="2"/>
  <c r="P352" i="2"/>
  <c r="O352" i="2"/>
  <c r="N352" i="2"/>
  <c r="M352" i="2"/>
  <c r="W351" i="2"/>
  <c r="V351" i="2"/>
  <c r="T351" i="2"/>
  <c r="R351" i="2"/>
  <c r="Q351" i="2"/>
  <c r="P351" i="2"/>
  <c r="O351" i="2"/>
  <c r="N351" i="2"/>
  <c r="M351" i="2"/>
  <c r="W350" i="2"/>
  <c r="V350" i="2"/>
  <c r="T350" i="2"/>
  <c r="R350" i="2"/>
  <c r="Q350" i="2"/>
  <c r="P350" i="2"/>
  <c r="O350" i="2"/>
  <c r="N350" i="2"/>
  <c r="M350" i="2"/>
  <c r="W349" i="2"/>
  <c r="V349" i="2"/>
  <c r="T349" i="2"/>
  <c r="R349" i="2"/>
  <c r="Q349" i="2"/>
  <c r="P349" i="2"/>
  <c r="O349" i="2"/>
  <c r="N349" i="2"/>
  <c r="M349" i="2"/>
  <c r="W348" i="2"/>
  <c r="V348" i="2"/>
  <c r="T348" i="2"/>
  <c r="R348" i="2"/>
  <c r="Q348" i="2"/>
  <c r="P348" i="2"/>
  <c r="O348" i="2"/>
  <c r="N348" i="2"/>
  <c r="M348" i="2"/>
  <c r="W347" i="2"/>
  <c r="V347" i="2"/>
  <c r="T347" i="2"/>
  <c r="R347" i="2"/>
  <c r="Q347" i="2"/>
  <c r="P347" i="2"/>
  <c r="O347" i="2"/>
  <c r="N347" i="2"/>
  <c r="M347" i="2"/>
  <c r="W346" i="2"/>
  <c r="V346" i="2"/>
  <c r="T346" i="2"/>
  <c r="R346" i="2"/>
  <c r="Q346" i="2"/>
  <c r="P346" i="2"/>
  <c r="O346" i="2"/>
  <c r="N346" i="2"/>
  <c r="M346" i="2"/>
  <c r="W345" i="2"/>
  <c r="V345" i="2"/>
  <c r="T345" i="2"/>
  <c r="R345" i="2"/>
  <c r="Q345" i="2"/>
  <c r="P345" i="2"/>
  <c r="O345" i="2"/>
  <c r="N345" i="2"/>
  <c r="M345" i="2"/>
  <c r="W344" i="2"/>
  <c r="V344" i="2"/>
  <c r="T344" i="2"/>
  <c r="R344" i="2"/>
  <c r="Q344" i="2"/>
  <c r="P344" i="2"/>
  <c r="O344" i="2"/>
  <c r="N344" i="2"/>
  <c r="M344" i="2"/>
  <c r="W343" i="2"/>
  <c r="V343" i="2"/>
  <c r="T343" i="2"/>
  <c r="R343" i="2"/>
  <c r="Q343" i="2"/>
  <c r="P343" i="2"/>
  <c r="O343" i="2"/>
  <c r="N343" i="2"/>
  <c r="M343" i="2"/>
  <c r="W342" i="2"/>
  <c r="V342" i="2"/>
  <c r="T342" i="2"/>
  <c r="R342" i="2"/>
  <c r="Q342" i="2"/>
  <c r="P342" i="2"/>
  <c r="O342" i="2"/>
  <c r="N342" i="2"/>
  <c r="M342" i="2"/>
  <c r="W341" i="2"/>
  <c r="V341" i="2"/>
  <c r="T341" i="2"/>
  <c r="R341" i="2"/>
  <c r="Q341" i="2"/>
  <c r="P341" i="2"/>
  <c r="O341" i="2"/>
  <c r="N341" i="2"/>
  <c r="M341" i="2"/>
  <c r="AB340" i="2"/>
  <c r="W340" i="2"/>
  <c r="V340" i="2"/>
  <c r="T340" i="2"/>
  <c r="R340" i="2"/>
  <c r="Q340" i="2"/>
  <c r="P340" i="2"/>
  <c r="O340" i="2"/>
  <c r="N340" i="2"/>
  <c r="M340" i="2"/>
  <c r="W339" i="2"/>
  <c r="V339" i="2"/>
  <c r="T339" i="2"/>
  <c r="R339" i="2"/>
  <c r="Q339" i="2"/>
  <c r="P339" i="2"/>
  <c r="O339" i="2"/>
  <c r="N339" i="2"/>
  <c r="M339" i="2"/>
  <c r="W338" i="2"/>
  <c r="V338" i="2"/>
  <c r="T338" i="2"/>
  <c r="R338" i="2"/>
  <c r="Q338" i="2"/>
  <c r="P338" i="2"/>
  <c r="O338" i="2"/>
  <c r="N338" i="2"/>
  <c r="M338" i="2"/>
  <c r="W337" i="2"/>
  <c r="V337" i="2"/>
  <c r="T337" i="2"/>
  <c r="R337" i="2"/>
  <c r="Q337" i="2"/>
  <c r="P337" i="2"/>
  <c r="O337" i="2"/>
  <c r="N337" i="2"/>
  <c r="M337" i="2"/>
  <c r="W336" i="2"/>
  <c r="V336" i="2"/>
  <c r="T336" i="2"/>
  <c r="R336" i="2"/>
  <c r="Q336" i="2"/>
  <c r="P336" i="2"/>
  <c r="O336" i="2"/>
  <c r="N336" i="2"/>
  <c r="M336" i="2"/>
  <c r="W335" i="2"/>
  <c r="V335" i="2"/>
  <c r="T335" i="2"/>
  <c r="R335" i="2"/>
  <c r="Q335" i="2"/>
  <c r="P335" i="2"/>
  <c r="O335" i="2"/>
  <c r="N335" i="2"/>
  <c r="M335" i="2"/>
  <c r="W334" i="2"/>
  <c r="V334" i="2"/>
  <c r="T334" i="2"/>
  <c r="R334" i="2"/>
  <c r="Q334" i="2"/>
  <c r="P334" i="2"/>
  <c r="O334" i="2"/>
  <c r="N334" i="2"/>
  <c r="M334" i="2"/>
  <c r="W333" i="2"/>
  <c r="V333" i="2"/>
  <c r="T333" i="2"/>
  <c r="R333" i="2"/>
  <c r="Q333" i="2"/>
  <c r="P333" i="2"/>
  <c r="O333" i="2"/>
  <c r="N333" i="2"/>
  <c r="M333" i="2"/>
  <c r="W332" i="2"/>
  <c r="V332" i="2"/>
  <c r="T332" i="2"/>
  <c r="R332" i="2"/>
  <c r="Q332" i="2"/>
  <c r="P332" i="2"/>
  <c r="O332" i="2"/>
  <c r="N332" i="2"/>
  <c r="M332" i="2"/>
  <c r="W331" i="2"/>
  <c r="V331" i="2"/>
  <c r="T331" i="2"/>
  <c r="R331" i="2"/>
  <c r="Q331" i="2"/>
  <c r="P331" i="2"/>
  <c r="O331" i="2"/>
  <c r="N331" i="2"/>
  <c r="M331" i="2"/>
  <c r="W330" i="2"/>
  <c r="V330" i="2"/>
  <c r="T330" i="2"/>
  <c r="R330" i="2"/>
  <c r="Q330" i="2"/>
  <c r="P330" i="2"/>
  <c r="O330" i="2"/>
  <c r="N330" i="2"/>
  <c r="M330" i="2"/>
  <c r="W329" i="2"/>
  <c r="V329" i="2"/>
  <c r="T329" i="2"/>
  <c r="R329" i="2"/>
  <c r="Q329" i="2"/>
  <c r="P329" i="2"/>
  <c r="O329" i="2"/>
  <c r="N329" i="2"/>
  <c r="M329" i="2"/>
  <c r="W328" i="2"/>
  <c r="V328" i="2"/>
  <c r="T328" i="2"/>
  <c r="R328" i="2"/>
  <c r="Q328" i="2"/>
  <c r="P328" i="2"/>
  <c r="O328" i="2"/>
  <c r="N328" i="2"/>
  <c r="M328" i="2"/>
  <c r="W327" i="2"/>
  <c r="V327" i="2"/>
  <c r="T327" i="2"/>
  <c r="R327" i="2"/>
  <c r="Q327" i="2"/>
  <c r="P327" i="2"/>
  <c r="O327" i="2"/>
  <c r="N327" i="2"/>
  <c r="M327" i="2"/>
  <c r="W326" i="2"/>
  <c r="V326" i="2"/>
  <c r="T326" i="2"/>
  <c r="R326" i="2"/>
  <c r="Q326" i="2"/>
  <c r="P326" i="2"/>
  <c r="O326" i="2"/>
  <c r="N326" i="2"/>
  <c r="M326" i="2"/>
  <c r="W325" i="2"/>
  <c r="V325" i="2"/>
  <c r="T325" i="2"/>
  <c r="R325" i="2"/>
  <c r="Q325" i="2"/>
  <c r="P325" i="2"/>
  <c r="O325" i="2"/>
  <c r="N325" i="2"/>
  <c r="M325" i="2"/>
  <c r="W324" i="2"/>
  <c r="V324" i="2"/>
  <c r="T324" i="2"/>
  <c r="R324" i="2"/>
  <c r="Q324" i="2"/>
  <c r="P324" i="2"/>
  <c r="O324" i="2"/>
  <c r="N324" i="2"/>
  <c r="M324" i="2"/>
  <c r="W323" i="2"/>
  <c r="V323" i="2"/>
  <c r="T323" i="2"/>
  <c r="R323" i="2"/>
  <c r="Q323" i="2"/>
  <c r="P323" i="2"/>
  <c r="O323" i="2"/>
  <c r="N323" i="2"/>
  <c r="M323" i="2"/>
  <c r="W322" i="2"/>
  <c r="V322" i="2"/>
  <c r="T322" i="2"/>
  <c r="R322" i="2"/>
  <c r="Q322" i="2"/>
  <c r="P322" i="2"/>
  <c r="O322" i="2"/>
  <c r="N322" i="2"/>
  <c r="M322" i="2"/>
  <c r="W321" i="2"/>
  <c r="V321" i="2"/>
  <c r="T321" i="2"/>
  <c r="R321" i="2"/>
  <c r="Q321" i="2"/>
  <c r="P321" i="2"/>
  <c r="O321" i="2"/>
  <c r="N321" i="2"/>
  <c r="M321" i="2"/>
  <c r="W320" i="2"/>
  <c r="V320" i="2"/>
  <c r="T320" i="2"/>
  <c r="R320" i="2"/>
  <c r="Q320" i="2"/>
  <c r="P320" i="2"/>
  <c r="O320" i="2"/>
  <c r="N320" i="2"/>
  <c r="M320" i="2"/>
  <c r="W319" i="2"/>
  <c r="V319" i="2"/>
  <c r="T319" i="2"/>
  <c r="R319" i="2"/>
  <c r="Q319" i="2"/>
  <c r="P319" i="2"/>
  <c r="O319" i="2"/>
  <c r="N319" i="2"/>
  <c r="M319" i="2"/>
  <c r="AB318" i="2"/>
  <c r="W318" i="2"/>
  <c r="V318" i="2"/>
  <c r="T318" i="2"/>
  <c r="R318" i="2"/>
  <c r="Q318" i="2"/>
  <c r="P318" i="2"/>
  <c r="O318" i="2"/>
  <c r="N318" i="2"/>
  <c r="M318" i="2"/>
  <c r="W317" i="2"/>
  <c r="V317" i="2"/>
  <c r="T317" i="2"/>
  <c r="R317" i="2"/>
  <c r="Q317" i="2"/>
  <c r="P317" i="2"/>
  <c r="O317" i="2"/>
  <c r="N317" i="2"/>
  <c r="M317" i="2"/>
  <c r="W316" i="2"/>
  <c r="V316" i="2"/>
  <c r="T316" i="2"/>
  <c r="R316" i="2"/>
  <c r="Q316" i="2"/>
  <c r="P316" i="2"/>
  <c r="O316" i="2"/>
  <c r="N316" i="2"/>
  <c r="M316" i="2"/>
  <c r="W315" i="2"/>
  <c r="V315" i="2"/>
  <c r="T315" i="2"/>
  <c r="R315" i="2"/>
  <c r="Q315" i="2"/>
  <c r="P315" i="2"/>
  <c r="O315" i="2"/>
  <c r="N315" i="2"/>
  <c r="M315" i="2"/>
  <c r="W314" i="2"/>
  <c r="V314" i="2"/>
  <c r="T314" i="2"/>
  <c r="R314" i="2"/>
  <c r="Q314" i="2"/>
  <c r="P314" i="2"/>
  <c r="O314" i="2"/>
  <c r="N314" i="2"/>
  <c r="M314" i="2"/>
  <c r="W313" i="2"/>
  <c r="V313" i="2"/>
  <c r="T313" i="2"/>
  <c r="R313" i="2"/>
  <c r="Q313" i="2"/>
  <c r="P313" i="2"/>
  <c r="O313" i="2"/>
  <c r="N313" i="2"/>
  <c r="M313" i="2"/>
  <c r="W312" i="2"/>
  <c r="V312" i="2"/>
  <c r="T312" i="2"/>
  <c r="R312" i="2"/>
  <c r="Q312" i="2"/>
  <c r="P312" i="2"/>
  <c r="O312" i="2"/>
  <c r="N312" i="2"/>
  <c r="M312" i="2"/>
  <c r="W311" i="2"/>
  <c r="V311" i="2"/>
  <c r="T311" i="2"/>
  <c r="R311" i="2"/>
  <c r="Q311" i="2"/>
  <c r="P311" i="2"/>
  <c r="O311" i="2"/>
  <c r="N311" i="2"/>
  <c r="M311" i="2"/>
  <c r="W310" i="2"/>
  <c r="V310" i="2"/>
  <c r="T310" i="2"/>
  <c r="R310" i="2"/>
  <c r="Q310" i="2"/>
  <c r="P310" i="2"/>
  <c r="O310" i="2"/>
  <c r="N310" i="2"/>
  <c r="M310" i="2"/>
  <c r="W309" i="2"/>
  <c r="V309" i="2"/>
  <c r="T309" i="2"/>
  <c r="R309" i="2"/>
  <c r="Q309" i="2"/>
  <c r="P309" i="2"/>
  <c r="O309" i="2"/>
  <c r="N309" i="2"/>
  <c r="M309" i="2"/>
  <c r="W308" i="2"/>
  <c r="V308" i="2"/>
  <c r="T308" i="2"/>
  <c r="R308" i="2"/>
  <c r="Q308" i="2"/>
  <c r="P308" i="2"/>
  <c r="O308" i="2"/>
  <c r="N308" i="2"/>
  <c r="M308" i="2"/>
  <c r="W307" i="2"/>
  <c r="V307" i="2"/>
  <c r="T307" i="2"/>
  <c r="R307" i="2"/>
  <c r="Q307" i="2"/>
  <c r="P307" i="2"/>
  <c r="O307" i="2"/>
  <c r="N307" i="2"/>
  <c r="M307" i="2"/>
  <c r="W306" i="2"/>
  <c r="V306" i="2"/>
  <c r="T306" i="2"/>
  <c r="R306" i="2"/>
  <c r="Q306" i="2"/>
  <c r="P306" i="2"/>
  <c r="O306" i="2"/>
  <c r="N306" i="2"/>
  <c r="M306" i="2"/>
  <c r="W305" i="2"/>
  <c r="V305" i="2"/>
  <c r="T305" i="2"/>
  <c r="R305" i="2"/>
  <c r="Q305" i="2"/>
  <c r="P305" i="2"/>
  <c r="O305" i="2"/>
  <c r="N305" i="2"/>
  <c r="M305" i="2"/>
  <c r="W304" i="2"/>
  <c r="V304" i="2"/>
  <c r="T304" i="2"/>
  <c r="R304" i="2"/>
  <c r="Q304" i="2"/>
  <c r="P304" i="2"/>
  <c r="O304" i="2"/>
  <c r="N304" i="2"/>
  <c r="M304" i="2"/>
  <c r="W303" i="2"/>
  <c r="V303" i="2"/>
  <c r="T303" i="2"/>
  <c r="R303" i="2"/>
  <c r="Q303" i="2"/>
  <c r="P303" i="2"/>
  <c r="O303" i="2"/>
  <c r="N303" i="2"/>
  <c r="M303" i="2"/>
  <c r="W302" i="2"/>
  <c r="V302" i="2"/>
  <c r="T302" i="2"/>
  <c r="R302" i="2"/>
  <c r="Q302" i="2"/>
  <c r="P302" i="2"/>
  <c r="O302" i="2"/>
  <c r="N302" i="2"/>
  <c r="M302" i="2"/>
  <c r="W301" i="2"/>
  <c r="V301" i="2"/>
  <c r="T301" i="2"/>
  <c r="R301" i="2"/>
  <c r="Q301" i="2"/>
  <c r="P301" i="2"/>
  <c r="O301" i="2"/>
  <c r="N301" i="2"/>
  <c r="M301" i="2"/>
  <c r="W300" i="2"/>
  <c r="V300" i="2"/>
  <c r="T300" i="2"/>
  <c r="R300" i="2"/>
  <c r="Q300" i="2"/>
  <c r="P300" i="2"/>
  <c r="O300" i="2"/>
  <c r="N300" i="2"/>
  <c r="M300" i="2"/>
  <c r="W299" i="2"/>
  <c r="V299" i="2"/>
  <c r="T299" i="2"/>
  <c r="R299" i="2"/>
  <c r="Q299" i="2"/>
  <c r="P299" i="2"/>
  <c r="O299" i="2"/>
  <c r="N299" i="2"/>
  <c r="M299" i="2"/>
  <c r="W298" i="2"/>
  <c r="V298" i="2"/>
  <c r="T298" i="2"/>
  <c r="R298" i="2"/>
  <c r="Q298" i="2"/>
  <c r="P298" i="2"/>
  <c r="O298" i="2"/>
  <c r="N298" i="2"/>
  <c r="M298" i="2"/>
  <c r="W297" i="2"/>
  <c r="V297" i="2"/>
  <c r="T297" i="2"/>
  <c r="R297" i="2"/>
  <c r="Q297" i="2"/>
  <c r="P297" i="2"/>
  <c r="O297" i="2"/>
  <c r="N297" i="2"/>
  <c r="M297" i="2"/>
  <c r="W296" i="2"/>
  <c r="V296" i="2"/>
  <c r="T296" i="2"/>
  <c r="R296" i="2"/>
  <c r="Q296" i="2"/>
  <c r="P296" i="2"/>
  <c r="O296" i="2"/>
  <c r="N296" i="2"/>
  <c r="M296" i="2"/>
  <c r="W295" i="2"/>
  <c r="V295" i="2"/>
  <c r="T295" i="2"/>
  <c r="R295" i="2"/>
  <c r="Q295" i="2"/>
  <c r="P295" i="2"/>
  <c r="O295" i="2"/>
  <c r="N295" i="2"/>
  <c r="M295" i="2"/>
  <c r="W294" i="2"/>
  <c r="V294" i="2"/>
  <c r="T294" i="2"/>
  <c r="R294" i="2"/>
  <c r="Q294" i="2"/>
  <c r="P294" i="2"/>
  <c r="O294" i="2"/>
  <c r="N294" i="2"/>
  <c r="M294" i="2"/>
  <c r="W293" i="2"/>
  <c r="V293" i="2"/>
  <c r="T293" i="2"/>
  <c r="R293" i="2"/>
  <c r="Q293" i="2"/>
  <c r="P293" i="2"/>
  <c r="O293" i="2"/>
  <c r="N293" i="2"/>
  <c r="M293" i="2"/>
  <c r="W292" i="2"/>
  <c r="V292" i="2"/>
  <c r="T292" i="2"/>
  <c r="R292" i="2"/>
  <c r="Q292" i="2"/>
  <c r="P292" i="2"/>
  <c r="O292" i="2"/>
  <c r="N292" i="2"/>
  <c r="M292" i="2"/>
  <c r="W291" i="2"/>
  <c r="V291" i="2"/>
  <c r="T291" i="2"/>
  <c r="R291" i="2"/>
  <c r="Q291" i="2"/>
  <c r="P291" i="2"/>
  <c r="O291" i="2"/>
  <c r="N291" i="2"/>
  <c r="M291" i="2"/>
  <c r="W290" i="2"/>
  <c r="V290" i="2"/>
  <c r="T290" i="2"/>
  <c r="R290" i="2"/>
  <c r="Q290" i="2"/>
  <c r="P290" i="2"/>
  <c r="O290" i="2"/>
  <c r="N290" i="2"/>
  <c r="M290" i="2"/>
  <c r="W289" i="2"/>
  <c r="V289" i="2"/>
  <c r="T289" i="2"/>
  <c r="R289" i="2"/>
  <c r="Q289" i="2"/>
  <c r="P289" i="2"/>
  <c r="O289" i="2"/>
  <c r="N289" i="2"/>
  <c r="M289" i="2"/>
  <c r="W288" i="2"/>
  <c r="V288" i="2"/>
  <c r="T288" i="2"/>
  <c r="R288" i="2"/>
  <c r="Q288" i="2"/>
  <c r="P288" i="2"/>
  <c r="O288" i="2"/>
  <c r="N288" i="2"/>
  <c r="M288" i="2"/>
  <c r="W287" i="2"/>
  <c r="V287" i="2"/>
  <c r="T287" i="2"/>
  <c r="R287" i="2"/>
  <c r="Q287" i="2"/>
  <c r="P287" i="2"/>
  <c r="O287" i="2"/>
  <c r="N287" i="2"/>
  <c r="M287" i="2"/>
  <c r="W286" i="2"/>
  <c r="V286" i="2"/>
  <c r="T286" i="2"/>
  <c r="R286" i="2"/>
  <c r="Q286" i="2"/>
  <c r="P286" i="2"/>
  <c r="O286" i="2"/>
  <c r="N286" i="2"/>
  <c r="M286" i="2"/>
  <c r="W285" i="2"/>
  <c r="V285" i="2"/>
  <c r="T285" i="2"/>
  <c r="R285" i="2"/>
  <c r="Q285" i="2"/>
  <c r="P285" i="2"/>
  <c r="O285" i="2"/>
  <c r="N285" i="2"/>
  <c r="M285" i="2"/>
  <c r="W284" i="2"/>
  <c r="V284" i="2"/>
  <c r="T284" i="2"/>
  <c r="R284" i="2"/>
  <c r="Q284" i="2"/>
  <c r="P284" i="2"/>
  <c r="O284" i="2"/>
  <c r="N284" i="2"/>
  <c r="M284" i="2"/>
  <c r="W283" i="2"/>
  <c r="V283" i="2"/>
  <c r="T283" i="2"/>
  <c r="R283" i="2"/>
  <c r="Q283" i="2"/>
  <c r="P283" i="2"/>
  <c r="O283" i="2"/>
  <c r="N283" i="2"/>
  <c r="M283" i="2"/>
  <c r="W282" i="2"/>
  <c r="V282" i="2"/>
  <c r="T282" i="2"/>
  <c r="R282" i="2"/>
  <c r="Q282" i="2"/>
  <c r="P282" i="2"/>
  <c r="O282" i="2"/>
  <c r="N282" i="2"/>
  <c r="M282" i="2"/>
  <c r="W281" i="2"/>
  <c r="V281" i="2"/>
  <c r="T281" i="2"/>
  <c r="R281" i="2"/>
  <c r="Q281" i="2"/>
  <c r="P281" i="2"/>
  <c r="O281" i="2"/>
  <c r="N281" i="2"/>
  <c r="M281" i="2"/>
  <c r="W280" i="2"/>
  <c r="V280" i="2"/>
  <c r="T280" i="2"/>
  <c r="R280" i="2"/>
  <c r="Q280" i="2"/>
  <c r="P280" i="2"/>
  <c r="O280" i="2"/>
  <c r="N280" i="2"/>
  <c r="M280" i="2"/>
  <c r="W279" i="2"/>
  <c r="V279" i="2"/>
  <c r="T279" i="2"/>
  <c r="R279" i="2"/>
  <c r="Q279" i="2"/>
  <c r="P279" i="2"/>
  <c r="O279" i="2"/>
  <c r="N279" i="2"/>
  <c r="M279" i="2"/>
  <c r="AB278" i="2"/>
  <c r="W278" i="2"/>
  <c r="V278" i="2"/>
  <c r="T278" i="2"/>
  <c r="R278" i="2"/>
  <c r="Q278" i="2"/>
  <c r="P278" i="2"/>
  <c r="O278" i="2"/>
  <c r="N278" i="2"/>
  <c r="M278" i="2"/>
  <c r="W277" i="2"/>
  <c r="V277" i="2"/>
  <c r="T277" i="2"/>
  <c r="R277" i="2"/>
  <c r="Q277" i="2"/>
  <c r="P277" i="2"/>
  <c r="O277" i="2"/>
  <c r="N277" i="2"/>
  <c r="M277" i="2"/>
  <c r="W276" i="2"/>
  <c r="V276" i="2"/>
  <c r="T276" i="2"/>
  <c r="R276" i="2"/>
  <c r="Q276" i="2"/>
  <c r="P276" i="2"/>
  <c r="O276" i="2"/>
  <c r="N276" i="2"/>
  <c r="M276" i="2"/>
  <c r="W275" i="2"/>
  <c r="V275" i="2"/>
  <c r="T275" i="2"/>
  <c r="R275" i="2"/>
  <c r="Q275" i="2"/>
  <c r="P275" i="2"/>
  <c r="O275" i="2"/>
  <c r="N275" i="2"/>
  <c r="M275" i="2"/>
  <c r="AB274" i="2"/>
  <c r="W274" i="2"/>
  <c r="V274" i="2"/>
  <c r="T274" i="2"/>
  <c r="R274" i="2"/>
  <c r="Q274" i="2"/>
  <c r="P274" i="2"/>
  <c r="O274" i="2"/>
  <c r="N274" i="2"/>
  <c r="M274" i="2"/>
  <c r="W273" i="2"/>
  <c r="V273" i="2"/>
  <c r="T273" i="2"/>
  <c r="R273" i="2"/>
  <c r="Q273" i="2"/>
  <c r="P273" i="2"/>
  <c r="O273" i="2"/>
  <c r="N273" i="2"/>
  <c r="M273" i="2"/>
  <c r="W272" i="2"/>
  <c r="V272" i="2"/>
  <c r="T272" i="2"/>
  <c r="R272" i="2"/>
  <c r="Q272" i="2"/>
  <c r="P272" i="2"/>
  <c r="O272" i="2"/>
  <c r="N272" i="2"/>
  <c r="M272" i="2"/>
  <c r="W271" i="2"/>
  <c r="V271" i="2"/>
  <c r="T271" i="2"/>
  <c r="R271" i="2"/>
  <c r="Q271" i="2"/>
  <c r="P271" i="2"/>
  <c r="O271" i="2"/>
  <c r="N271" i="2"/>
  <c r="M271" i="2"/>
  <c r="W270" i="2"/>
  <c r="V270" i="2"/>
  <c r="T270" i="2"/>
  <c r="R270" i="2"/>
  <c r="Q270" i="2"/>
  <c r="P270" i="2"/>
  <c r="O270" i="2"/>
  <c r="N270" i="2"/>
  <c r="M270" i="2"/>
  <c r="W269" i="2"/>
  <c r="V269" i="2"/>
  <c r="T269" i="2"/>
  <c r="R269" i="2"/>
  <c r="Q269" i="2"/>
  <c r="P269" i="2"/>
  <c r="O269" i="2"/>
  <c r="N269" i="2"/>
  <c r="M269" i="2"/>
  <c r="W268" i="2"/>
  <c r="V268" i="2"/>
  <c r="T268" i="2"/>
  <c r="R268" i="2"/>
  <c r="Q268" i="2"/>
  <c r="P268" i="2"/>
  <c r="O268" i="2"/>
  <c r="N268" i="2"/>
  <c r="M268" i="2"/>
  <c r="W267" i="2"/>
  <c r="V267" i="2"/>
  <c r="T267" i="2"/>
  <c r="R267" i="2"/>
  <c r="Q267" i="2"/>
  <c r="P267" i="2"/>
  <c r="O267" i="2"/>
  <c r="N267" i="2"/>
  <c r="M267" i="2"/>
  <c r="W266" i="2"/>
  <c r="V266" i="2"/>
  <c r="T266" i="2"/>
  <c r="R266" i="2"/>
  <c r="Q266" i="2"/>
  <c r="P266" i="2"/>
  <c r="O266" i="2"/>
  <c r="N266" i="2"/>
  <c r="M266" i="2"/>
  <c r="W265" i="2"/>
  <c r="V265" i="2"/>
  <c r="T265" i="2"/>
  <c r="R265" i="2"/>
  <c r="Q265" i="2"/>
  <c r="P265" i="2"/>
  <c r="O265" i="2"/>
  <c r="N265" i="2"/>
  <c r="M265" i="2"/>
  <c r="W264" i="2"/>
  <c r="V264" i="2"/>
  <c r="T264" i="2"/>
  <c r="R264" i="2"/>
  <c r="Q264" i="2"/>
  <c r="P264" i="2"/>
  <c r="O264" i="2"/>
  <c r="N264" i="2"/>
  <c r="M264" i="2"/>
  <c r="W263" i="2"/>
  <c r="V263" i="2"/>
  <c r="T263" i="2"/>
  <c r="R263" i="2"/>
  <c r="Q263" i="2"/>
  <c r="P263" i="2"/>
  <c r="O263" i="2"/>
  <c r="N263" i="2"/>
  <c r="M263" i="2"/>
  <c r="W262" i="2"/>
  <c r="V262" i="2"/>
  <c r="T262" i="2"/>
  <c r="R262" i="2"/>
  <c r="Q262" i="2"/>
  <c r="P262" i="2"/>
  <c r="O262" i="2"/>
  <c r="N262" i="2"/>
  <c r="M262" i="2"/>
  <c r="W261" i="2"/>
  <c r="V261" i="2"/>
  <c r="T261" i="2"/>
  <c r="R261" i="2"/>
  <c r="Q261" i="2"/>
  <c r="P261" i="2"/>
  <c r="O261" i="2"/>
  <c r="N261" i="2"/>
  <c r="M261" i="2"/>
  <c r="W260" i="2"/>
  <c r="V260" i="2"/>
  <c r="T260" i="2"/>
  <c r="R260" i="2"/>
  <c r="Q260" i="2"/>
  <c r="P260" i="2"/>
  <c r="O260" i="2"/>
  <c r="N260" i="2"/>
  <c r="M260" i="2"/>
  <c r="W259" i="2"/>
  <c r="V259" i="2"/>
  <c r="T259" i="2"/>
  <c r="R259" i="2"/>
  <c r="Q259" i="2"/>
  <c r="P259" i="2"/>
  <c r="O259" i="2"/>
  <c r="N259" i="2"/>
  <c r="M259" i="2"/>
  <c r="W258" i="2"/>
  <c r="V258" i="2"/>
  <c r="T258" i="2"/>
  <c r="R258" i="2"/>
  <c r="Q258" i="2"/>
  <c r="P258" i="2"/>
  <c r="O258" i="2"/>
  <c r="N258" i="2"/>
  <c r="M258" i="2"/>
  <c r="W257" i="2"/>
  <c r="V257" i="2"/>
  <c r="T257" i="2"/>
  <c r="R257" i="2"/>
  <c r="Q257" i="2"/>
  <c r="P257" i="2"/>
  <c r="O257" i="2"/>
  <c r="N257" i="2"/>
  <c r="M257" i="2"/>
  <c r="W256" i="2"/>
  <c r="V256" i="2"/>
  <c r="T256" i="2"/>
  <c r="R256" i="2"/>
  <c r="Q256" i="2"/>
  <c r="P256" i="2"/>
  <c r="O256" i="2"/>
  <c r="N256" i="2"/>
  <c r="M256" i="2"/>
  <c r="W255" i="2"/>
  <c r="V255" i="2"/>
  <c r="T255" i="2"/>
  <c r="R255" i="2"/>
  <c r="Q255" i="2"/>
  <c r="P255" i="2"/>
  <c r="O255" i="2"/>
  <c r="N255" i="2"/>
  <c r="M255" i="2"/>
  <c r="W254" i="2"/>
  <c r="V254" i="2"/>
  <c r="T254" i="2"/>
  <c r="R254" i="2"/>
  <c r="Q254" i="2"/>
  <c r="P254" i="2"/>
  <c r="O254" i="2"/>
  <c r="N254" i="2"/>
  <c r="M254" i="2"/>
  <c r="W253" i="2"/>
  <c r="V253" i="2"/>
  <c r="T253" i="2"/>
  <c r="R253" i="2"/>
  <c r="Q253" i="2"/>
  <c r="P253" i="2"/>
  <c r="O253" i="2"/>
  <c r="N253" i="2"/>
  <c r="M253" i="2"/>
  <c r="W252" i="2"/>
  <c r="V252" i="2"/>
  <c r="T252" i="2"/>
  <c r="R252" i="2"/>
  <c r="Q252" i="2"/>
  <c r="P252" i="2"/>
  <c r="O252" i="2"/>
  <c r="N252" i="2"/>
  <c r="M252" i="2"/>
  <c r="W251" i="2"/>
  <c r="V251" i="2"/>
  <c r="T251" i="2"/>
  <c r="R251" i="2"/>
  <c r="Q251" i="2"/>
  <c r="P251" i="2"/>
  <c r="O251" i="2"/>
  <c r="N251" i="2"/>
  <c r="M251" i="2"/>
  <c r="W250" i="2"/>
  <c r="V250" i="2"/>
  <c r="T250" i="2"/>
  <c r="R250" i="2"/>
  <c r="Q250" i="2"/>
  <c r="P250" i="2"/>
  <c r="O250" i="2"/>
  <c r="N250" i="2"/>
  <c r="M250" i="2"/>
  <c r="W249" i="2"/>
  <c r="V249" i="2"/>
  <c r="T249" i="2"/>
  <c r="R249" i="2"/>
  <c r="Q249" i="2"/>
  <c r="P249" i="2"/>
  <c r="O249" i="2"/>
  <c r="N249" i="2"/>
  <c r="M249" i="2"/>
  <c r="W248" i="2"/>
  <c r="V248" i="2"/>
  <c r="T248" i="2"/>
  <c r="R248" i="2"/>
  <c r="Q248" i="2"/>
  <c r="P248" i="2"/>
  <c r="O248" i="2"/>
  <c r="N248" i="2"/>
  <c r="M248" i="2"/>
  <c r="W247" i="2"/>
  <c r="V247" i="2"/>
  <c r="T247" i="2"/>
  <c r="R247" i="2"/>
  <c r="Q247" i="2"/>
  <c r="P247" i="2"/>
  <c r="O247" i="2"/>
  <c r="N247" i="2"/>
  <c r="M247" i="2"/>
  <c r="W246" i="2"/>
  <c r="V246" i="2"/>
  <c r="T246" i="2"/>
  <c r="R246" i="2"/>
  <c r="Q246" i="2"/>
  <c r="P246" i="2"/>
  <c r="O246" i="2"/>
  <c r="N246" i="2"/>
  <c r="M246" i="2"/>
  <c r="W245" i="2"/>
  <c r="V245" i="2"/>
  <c r="T245" i="2"/>
  <c r="R245" i="2"/>
  <c r="Q245" i="2"/>
  <c r="P245" i="2"/>
  <c r="O245" i="2"/>
  <c r="N245" i="2"/>
  <c r="M245" i="2"/>
  <c r="W244" i="2"/>
  <c r="V244" i="2"/>
  <c r="T244" i="2"/>
  <c r="R244" i="2"/>
  <c r="Q244" i="2"/>
  <c r="P244" i="2"/>
  <c r="O244" i="2"/>
  <c r="N244" i="2"/>
  <c r="M244" i="2"/>
  <c r="W243" i="2"/>
  <c r="V243" i="2"/>
  <c r="T243" i="2"/>
  <c r="R243" i="2"/>
  <c r="Q243" i="2"/>
  <c r="P243" i="2"/>
  <c r="O243" i="2"/>
  <c r="N243" i="2"/>
  <c r="M243" i="2"/>
  <c r="W242" i="2"/>
  <c r="V242" i="2"/>
  <c r="T242" i="2"/>
  <c r="R242" i="2"/>
  <c r="Q242" i="2"/>
  <c r="P242" i="2"/>
  <c r="O242" i="2"/>
  <c r="N242" i="2"/>
  <c r="M242" i="2"/>
  <c r="W241" i="2"/>
  <c r="V241" i="2"/>
  <c r="T241" i="2"/>
  <c r="R241" i="2"/>
  <c r="Q241" i="2"/>
  <c r="P241" i="2"/>
  <c r="O241" i="2"/>
  <c r="N241" i="2"/>
  <c r="M241" i="2"/>
  <c r="W240" i="2"/>
  <c r="V240" i="2"/>
  <c r="T240" i="2"/>
  <c r="R240" i="2"/>
  <c r="Q240" i="2"/>
  <c r="P240" i="2"/>
  <c r="O240" i="2"/>
  <c r="N240" i="2"/>
  <c r="M240" i="2"/>
  <c r="W239" i="2"/>
  <c r="V239" i="2"/>
  <c r="T239" i="2"/>
  <c r="R239" i="2"/>
  <c r="Q239" i="2"/>
  <c r="P239" i="2"/>
  <c r="O239" i="2"/>
  <c r="N239" i="2"/>
  <c r="M239" i="2"/>
  <c r="W238" i="2"/>
  <c r="V238" i="2"/>
  <c r="T238" i="2"/>
  <c r="R238" i="2"/>
  <c r="Q238" i="2"/>
  <c r="P238" i="2"/>
  <c r="O238" i="2"/>
  <c r="N238" i="2"/>
  <c r="M238" i="2"/>
  <c r="W237" i="2"/>
  <c r="V237" i="2"/>
  <c r="T237" i="2"/>
  <c r="R237" i="2"/>
  <c r="Q237" i="2"/>
  <c r="P237" i="2"/>
  <c r="O237" i="2"/>
  <c r="N237" i="2"/>
  <c r="M237" i="2"/>
  <c r="W236" i="2"/>
  <c r="V236" i="2"/>
  <c r="T236" i="2"/>
  <c r="R236" i="2"/>
  <c r="Q236" i="2"/>
  <c r="P236" i="2"/>
  <c r="O236" i="2"/>
  <c r="N236" i="2"/>
  <c r="M236" i="2"/>
  <c r="W235" i="2"/>
  <c r="V235" i="2"/>
  <c r="T235" i="2"/>
  <c r="R235" i="2"/>
  <c r="Q235" i="2"/>
  <c r="P235" i="2"/>
  <c r="O235" i="2"/>
  <c r="N235" i="2"/>
  <c r="M235" i="2"/>
  <c r="AB234" i="2"/>
  <c r="W234" i="2"/>
  <c r="V234" i="2"/>
  <c r="T234" i="2"/>
  <c r="R234" i="2"/>
  <c r="Q234" i="2"/>
  <c r="P234" i="2"/>
  <c r="O234" i="2"/>
  <c r="N234" i="2"/>
  <c r="M234" i="2"/>
  <c r="W233" i="2"/>
  <c r="V233" i="2"/>
  <c r="T233" i="2"/>
  <c r="R233" i="2"/>
  <c r="Q233" i="2"/>
  <c r="P233" i="2"/>
  <c r="O233" i="2"/>
  <c r="N233" i="2"/>
  <c r="M233" i="2"/>
  <c r="W232" i="2"/>
  <c r="V232" i="2"/>
  <c r="T232" i="2"/>
  <c r="R232" i="2"/>
  <c r="Q232" i="2"/>
  <c r="P232" i="2"/>
  <c r="O232" i="2"/>
  <c r="N232" i="2"/>
  <c r="M232" i="2"/>
  <c r="W231" i="2"/>
  <c r="V231" i="2"/>
  <c r="T231" i="2"/>
  <c r="R231" i="2"/>
  <c r="Q231" i="2"/>
  <c r="P231" i="2"/>
  <c r="O231" i="2"/>
  <c r="N231" i="2"/>
  <c r="M231" i="2"/>
  <c r="W230" i="2"/>
  <c r="V230" i="2"/>
  <c r="T230" i="2"/>
  <c r="R230" i="2"/>
  <c r="Q230" i="2"/>
  <c r="P230" i="2"/>
  <c r="O230" i="2"/>
  <c r="N230" i="2"/>
  <c r="M230" i="2"/>
  <c r="W229" i="2"/>
  <c r="V229" i="2"/>
  <c r="T229" i="2"/>
  <c r="R229" i="2"/>
  <c r="Q229" i="2"/>
  <c r="P229" i="2"/>
  <c r="O229" i="2"/>
  <c r="N229" i="2"/>
  <c r="M229" i="2"/>
  <c r="W228" i="2"/>
  <c r="V228" i="2"/>
  <c r="T228" i="2"/>
  <c r="R228" i="2"/>
  <c r="Q228" i="2"/>
  <c r="P228" i="2"/>
  <c r="O228" i="2"/>
  <c r="N228" i="2"/>
  <c r="M228" i="2"/>
  <c r="W227" i="2"/>
  <c r="V227" i="2"/>
  <c r="T227" i="2"/>
  <c r="R227" i="2"/>
  <c r="Q227" i="2"/>
  <c r="P227" i="2"/>
  <c r="O227" i="2"/>
  <c r="N227" i="2"/>
  <c r="M227" i="2"/>
  <c r="W226" i="2"/>
  <c r="V226" i="2"/>
  <c r="T226" i="2"/>
  <c r="R226" i="2"/>
  <c r="Q226" i="2"/>
  <c r="P226" i="2"/>
  <c r="O226" i="2"/>
  <c r="N226" i="2"/>
  <c r="M226" i="2"/>
  <c r="W225" i="2"/>
  <c r="V225" i="2"/>
  <c r="T225" i="2"/>
  <c r="R225" i="2"/>
  <c r="Q225" i="2"/>
  <c r="P225" i="2"/>
  <c r="O225" i="2"/>
  <c r="N225" i="2"/>
  <c r="M225" i="2"/>
  <c r="W224" i="2"/>
  <c r="V224" i="2"/>
  <c r="T224" i="2"/>
  <c r="R224" i="2"/>
  <c r="Q224" i="2"/>
  <c r="P224" i="2"/>
  <c r="O224" i="2"/>
  <c r="N224" i="2"/>
  <c r="M224" i="2"/>
  <c r="W223" i="2"/>
  <c r="V223" i="2"/>
  <c r="T223" i="2"/>
  <c r="R223" i="2"/>
  <c r="Q223" i="2"/>
  <c r="P223" i="2"/>
  <c r="O223" i="2"/>
  <c r="N223" i="2"/>
  <c r="M223" i="2"/>
  <c r="W222" i="2"/>
  <c r="V222" i="2"/>
  <c r="T222" i="2"/>
  <c r="R222" i="2"/>
  <c r="Q222" i="2"/>
  <c r="P222" i="2"/>
  <c r="O222" i="2"/>
  <c r="N222" i="2"/>
  <c r="M222" i="2"/>
  <c r="W221" i="2"/>
  <c r="V221" i="2"/>
  <c r="T221" i="2"/>
  <c r="R221" i="2"/>
  <c r="Q221" i="2"/>
  <c r="P221" i="2"/>
  <c r="O221" i="2"/>
  <c r="N221" i="2"/>
  <c r="M221" i="2"/>
  <c r="W220" i="2"/>
  <c r="V220" i="2"/>
  <c r="T220" i="2"/>
  <c r="R220" i="2"/>
  <c r="Q220" i="2"/>
  <c r="P220" i="2"/>
  <c r="O220" i="2"/>
  <c r="N220" i="2"/>
  <c r="M220" i="2"/>
  <c r="W219" i="2"/>
  <c r="V219" i="2"/>
  <c r="T219" i="2"/>
  <c r="R219" i="2"/>
  <c r="Q219" i="2"/>
  <c r="P219" i="2"/>
  <c r="O219" i="2"/>
  <c r="N219" i="2"/>
  <c r="M219" i="2"/>
  <c r="W218" i="2"/>
  <c r="V218" i="2"/>
  <c r="T218" i="2"/>
  <c r="R218" i="2"/>
  <c r="Q218" i="2"/>
  <c r="P218" i="2"/>
  <c r="O218" i="2"/>
  <c r="N218" i="2"/>
  <c r="M218" i="2"/>
  <c r="W217" i="2"/>
  <c r="V217" i="2"/>
  <c r="T217" i="2"/>
  <c r="R217" i="2"/>
  <c r="Q217" i="2"/>
  <c r="P217" i="2"/>
  <c r="O217" i="2"/>
  <c r="N217" i="2"/>
  <c r="M217" i="2"/>
  <c r="W216" i="2"/>
  <c r="V216" i="2"/>
  <c r="T216" i="2"/>
  <c r="R216" i="2"/>
  <c r="Q216" i="2"/>
  <c r="P216" i="2"/>
  <c r="O216" i="2"/>
  <c r="N216" i="2"/>
  <c r="M216" i="2"/>
  <c r="W215" i="2"/>
  <c r="V215" i="2"/>
  <c r="T215" i="2"/>
  <c r="R215" i="2"/>
  <c r="Q215" i="2"/>
  <c r="P215" i="2"/>
  <c r="O215" i="2"/>
  <c r="N215" i="2"/>
  <c r="M215" i="2"/>
  <c r="W214" i="2"/>
  <c r="V214" i="2"/>
  <c r="T214" i="2"/>
  <c r="R214" i="2"/>
  <c r="Q214" i="2"/>
  <c r="P214" i="2"/>
  <c r="O214" i="2"/>
  <c r="N214" i="2"/>
  <c r="M214" i="2"/>
  <c r="W213" i="2"/>
  <c r="V213" i="2"/>
  <c r="T213" i="2"/>
  <c r="R213" i="2"/>
  <c r="Q213" i="2"/>
  <c r="P213" i="2"/>
  <c r="O213" i="2"/>
  <c r="N213" i="2"/>
  <c r="M213" i="2"/>
  <c r="W212" i="2"/>
  <c r="V212" i="2"/>
  <c r="T212" i="2"/>
  <c r="R212" i="2"/>
  <c r="Q212" i="2"/>
  <c r="P212" i="2"/>
  <c r="O212" i="2"/>
  <c r="N212" i="2"/>
  <c r="M212" i="2"/>
  <c r="W211" i="2"/>
  <c r="V211" i="2"/>
  <c r="T211" i="2"/>
  <c r="R211" i="2"/>
  <c r="Q211" i="2"/>
  <c r="P211" i="2"/>
  <c r="O211" i="2"/>
  <c r="N211" i="2"/>
  <c r="M211" i="2"/>
  <c r="W210" i="2"/>
  <c r="V210" i="2"/>
  <c r="T210" i="2"/>
  <c r="R210" i="2"/>
  <c r="Q210" i="2"/>
  <c r="P210" i="2"/>
  <c r="O210" i="2"/>
  <c r="N210" i="2"/>
  <c r="M210" i="2"/>
  <c r="W209" i="2"/>
  <c r="V209" i="2"/>
  <c r="T209" i="2"/>
  <c r="R209" i="2"/>
  <c r="Q209" i="2"/>
  <c r="P209" i="2"/>
  <c r="O209" i="2"/>
  <c r="N209" i="2"/>
  <c r="M209" i="2"/>
  <c r="W208" i="2"/>
  <c r="V208" i="2"/>
  <c r="T208" i="2"/>
  <c r="R208" i="2"/>
  <c r="Q208" i="2"/>
  <c r="P208" i="2"/>
  <c r="O208" i="2"/>
  <c r="N208" i="2"/>
  <c r="M208" i="2"/>
  <c r="W207" i="2"/>
  <c r="V207" i="2"/>
  <c r="T207" i="2"/>
  <c r="R207" i="2"/>
  <c r="Q207" i="2"/>
  <c r="P207" i="2"/>
  <c r="O207" i="2"/>
  <c r="N207" i="2"/>
  <c r="M207" i="2"/>
  <c r="W206" i="2"/>
  <c r="V206" i="2"/>
  <c r="T206" i="2"/>
  <c r="R206" i="2"/>
  <c r="Q206" i="2"/>
  <c r="P206" i="2"/>
  <c r="O206" i="2"/>
  <c r="N206" i="2"/>
  <c r="M206" i="2"/>
  <c r="W205" i="2"/>
  <c r="V205" i="2"/>
  <c r="T205" i="2"/>
  <c r="R205" i="2"/>
  <c r="Q205" i="2"/>
  <c r="P205" i="2"/>
  <c r="O205" i="2"/>
  <c r="N205" i="2"/>
  <c r="M205" i="2"/>
  <c r="W204" i="2"/>
  <c r="V204" i="2"/>
  <c r="T204" i="2"/>
  <c r="R204" i="2"/>
  <c r="Q204" i="2"/>
  <c r="P204" i="2"/>
  <c r="O204" i="2"/>
  <c r="N204" i="2"/>
  <c r="M204" i="2"/>
  <c r="W203" i="2"/>
  <c r="V203" i="2"/>
  <c r="T203" i="2"/>
  <c r="R203" i="2"/>
  <c r="Q203" i="2"/>
  <c r="P203" i="2"/>
  <c r="O203" i="2"/>
  <c r="N203" i="2"/>
  <c r="M203" i="2"/>
  <c r="W202" i="2"/>
  <c r="V202" i="2"/>
  <c r="T202" i="2"/>
  <c r="R202" i="2"/>
  <c r="Q202" i="2"/>
  <c r="P202" i="2"/>
  <c r="O202" i="2"/>
  <c r="N202" i="2"/>
  <c r="M202" i="2"/>
  <c r="W201" i="2"/>
  <c r="V201" i="2"/>
  <c r="T201" i="2"/>
  <c r="R201" i="2"/>
  <c r="Q201" i="2"/>
  <c r="P201" i="2"/>
  <c r="O201" i="2"/>
  <c r="N201" i="2"/>
  <c r="M201" i="2"/>
  <c r="W200" i="2"/>
  <c r="V200" i="2"/>
  <c r="T200" i="2"/>
  <c r="R200" i="2"/>
  <c r="Q200" i="2"/>
  <c r="P200" i="2"/>
  <c r="O200" i="2"/>
  <c r="N200" i="2"/>
  <c r="M200" i="2"/>
  <c r="W199" i="2"/>
  <c r="V199" i="2"/>
  <c r="T199" i="2"/>
  <c r="R199" i="2"/>
  <c r="Q199" i="2"/>
  <c r="P199" i="2"/>
  <c r="O199" i="2"/>
  <c r="N199" i="2"/>
  <c r="M199" i="2"/>
  <c r="W198" i="2"/>
  <c r="V198" i="2"/>
  <c r="T198" i="2"/>
  <c r="R198" i="2"/>
  <c r="Q198" i="2"/>
  <c r="P198" i="2"/>
  <c r="O198" i="2"/>
  <c r="N198" i="2"/>
  <c r="M198" i="2"/>
  <c r="W197" i="2"/>
  <c r="V197" i="2"/>
  <c r="T197" i="2"/>
  <c r="R197" i="2"/>
  <c r="Q197" i="2"/>
  <c r="P197" i="2"/>
  <c r="O197" i="2"/>
  <c r="N197" i="2"/>
  <c r="M197" i="2"/>
  <c r="W196" i="2"/>
  <c r="V196" i="2"/>
  <c r="T196" i="2"/>
  <c r="R196" i="2"/>
  <c r="Q196" i="2"/>
  <c r="P196" i="2"/>
  <c r="O196" i="2"/>
  <c r="N196" i="2"/>
  <c r="M196" i="2"/>
  <c r="AB195" i="2"/>
  <c r="W195" i="2"/>
  <c r="V195" i="2"/>
  <c r="T195" i="2"/>
  <c r="R195" i="2"/>
  <c r="Q195" i="2"/>
  <c r="P195" i="2"/>
  <c r="O195" i="2"/>
  <c r="N195" i="2"/>
  <c r="M195" i="2"/>
  <c r="AB194" i="2"/>
  <c r="W194" i="2"/>
  <c r="V194" i="2"/>
  <c r="T194" i="2"/>
  <c r="R194" i="2"/>
  <c r="Q194" i="2"/>
  <c r="P194" i="2"/>
  <c r="O194" i="2"/>
  <c r="N194" i="2"/>
  <c r="M194" i="2"/>
  <c r="AB193" i="2"/>
  <c r="W193" i="2"/>
  <c r="V193" i="2"/>
  <c r="T193" i="2"/>
  <c r="R193" i="2"/>
  <c r="Q193" i="2"/>
  <c r="P193" i="2"/>
  <c r="O193" i="2"/>
  <c r="N193" i="2"/>
  <c r="M193" i="2"/>
  <c r="AB192" i="2"/>
  <c r="W192" i="2"/>
  <c r="V192" i="2"/>
  <c r="T192" i="2"/>
  <c r="R192" i="2"/>
  <c r="Q192" i="2"/>
  <c r="P192" i="2"/>
  <c r="O192" i="2"/>
  <c r="N192" i="2"/>
  <c r="M192" i="2"/>
  <c r="AB191" i="2"/>
  <c r="W191" i="2"/>
  <c r="V191" i="2"/>
  <c r="T191" i="2"/>
  <c r="R191" i="2"/>
  <c r="Q191" i="2"/>
  <c r="P191" i="2"/>
  <c r="O191" i="2"/>
  <c r="N191" i="2"/>
  <c r="M191" i="2"/>
  <c r="AB190" i="2"/>
  <c r="W190" i="2"/>
  <c r="V190" i="2"/>
  <c r="T190" i="2"/>
  <c r="R190" i="2"/>
  <c r="Q190" i="2"/>
  <c r="P190" i="2"/>
  <c r="O190" i="2"/>
  <c r="N190" i="2"/>
  <c r="M190" i="2"/>
  <c r="AB189" i="2"/>
  <c r="W189" i="2"/>
  <c r="V189" i="2"/>
  <c r="T189" i="2"/>
  <c r="R189" i="2"/>
  <c r="Q189" i="2"/>
  <c r="P189" i="2"/>
  <c r="O189" i="2"/>
  <c r="N189" i="2"/>
  <c r="M189" i="2"/>
  <c r="AB188" i="2"/>
  <c r="W188" i="2"/>
  <c r="V188" i="2"/>
  <c r="T188" i="2"/>
  <c r="R188" i="2"/>
  <c r="Q188" i="2"/>
  <c r="P188" i="2"/>
  <c r="O188" i="2"/>
  <c r="N188" i="2"/>
  <c r="M188" i="2"/>
  <c r="AB187" i="2"/>
  <c r="W187" i="2"/>
  <c r="V187" i="2"/>
  <c r="T187" i="2"/>
  <c r="R187" i="2"/>
  <c r="Q187" i="2"/>
  <c r="P187" i="2"/>
  <c r="O187" i="2"/>
  <c r="N187" i="2"/>
  <c r="M187" i="2"/>
  <c r="AB186" i="2"/>
  <c r="W186" i="2"/>
  <c r="V186" i="2"/>
  <c r="T186" i="2"/>
  <c r="R186" i="2"/>
  <c r="Q186" i="2"/>
  <c r="P186" i="2"/>
  <c r="O186" i="2"/>
  <c r="N186" i="2"/>
  <c r="M186" i="2"/>
  <c r="AB185" i="2"/>
  <c r="W185" i="2"/>
  <c r="V185" i="2"/>
  <c r="T185" i="2"/>
  <c r="R185" i="2"/>
  <c r="Q185" i="2"/>
  <c r="P185" i="2"/>
  <c r="O185" i="2"/>
  <c r="N185" i="2"/>
  <c r="M185" i="2"/>
  <c r="AB184" i="2"/>
  <c r="W184" i="2"/>
  <c r="V184" i="2"/>
  <c r="T184" i="2"/>
  <c r="R184" i="2"/>
  <c r="Q184" i="2"/>
  <c r="P184" i="2"/>
  <c r="O184" i="2"/>
  <c r="N184" i="2"/>
  <c r="M184" i="2"/>
  <c r="AB183" i="2"/>
  <c r="W183" i="2"/>
  <c r="V183" i="2"/>
  <c r="T183" i="2"/>
  <c r="R183" i="2"/>
  <c r="Q183" i="2"/>
  <c r="P183" i="2"/>
  <c r="O183" i="2"/>
  <c r="N183" i="2"/>
  <c r="M183" i="2"/>
  <c r="AB182" i="2"/>
  <c r="W182" i="2"/>
  <c r="V182" i="2"/>
  <c r="T182" i="2"/>
  <c r="R182" i="2"/>
  <c r="Q182" i="2"/>
  <c r="P182" i="2"/>
  <c r="O182" i="2"/>
  <c r="N182" i="2"/>
  <c r="M182" i="2"/>
  <c r="AB181" i="2"/>
  <c r="W181" i="2"/>
  <c r="V181" i="2"/>
  <c r="T181" i="2"/>
  <c r="R181" i="2"/>
  <c r="Q181" i="2"/>
  <c r="P181" i="2"/>
  <c r="O181" i="2"/>
  <c r="N181" i="2"/>
  <c r="M181" i="2"/>
  <c r="AB180" i="2"/>
  <c r="W180" i="2"/>
  <c r="V180" i="2"/>
  <c r="T180" i="2"/>
  <c r="R180" i="2"/>
  <c r="Q180" i="2"/>
  <c r="P180" i="2"/>
  <c r="O180" i="2"/>
  <c r="N180" i="2"/>
  <c r="M180" i="2"/>
  <c r="AB179" i="2"/>
  <c r="W179" i="2"/>
  <c r="V179" i="2"/>
  <c r="T179" i="2"/>
  <c r="R179" i="2"/>
  <c r="Q179" i="2"/>
  <c r="P179" i="2"/>
  <c r="O179" i="2"/>
  <c r="N179" i="2"/>
  <c r="M179" i="2"/>
  <c r="AB178" i="2"/>
  <c r="W178" i="2"/>
  <c r="V178" i="2"/>
  <c r="T178" i="2"/>
  <c r="R178" i="2"/>
  <c r="Q178" i="2"/>
  <c r="P178" i="2"/>
  <c r="O178" i="2"/>
  <c r="N178" i="2"/>
  <c r="M178" i="2"/>
  <c r="AB177" i="2"/>
  <c r="W177" i="2"/>
  <c r="V177" i="2"/>
  <c r="T177" i="2"/>
  <c r="R177" i="2"/>
  <c r="Q177" i="2"/>
  <c r="P177" i="2"/>
  <c r="O177" i="2"/>
  <c r="N177" i="2"/>
  <c r="M177" i="2"/>
  <c r="W176" i="2"/>
  <c r="V176" i="2"/>
  <c r="T176" i="2"/>
  <c r="R176" i="2"/>
  <c r="Q176" i="2"/>
  <c r="P176" i="2"/>
  <c r="O176" i="2"/>
  <c r="N176" i="2"/>
  <c r="M176" i="2"/>
  <c r="W175" i="2"/>
  <c r="V175" i="2"/>
  <c r="T175" i="2"/>
  <c r="R175" i="2"/>
  <c r="Q175" i="2"/>
  <c r="P175" i="2"/>
  <c r="O175" i="2"/>
  <c r="N175" i="2"/>
  <c r="M175" i="2"/>
  <c r="W174" i="2"/>
  <c r="V174" i="2"/>
  <c r="T174" i="2"/>
  <c r="R174" i="2"/>
  <c r="Q174" i="2"/>
  <c r="P174" i="2"/>
  <c r="O174" i="2"/>
  <c r="N174" i="2"/>
  <c r="M174" i="2"/>
  <c r="W173" i="2"/>
  <c r="V173" i="2"/>
  <c r="T173" i="2"/>
  <c r="R173" i="2"/>
  <c r="Q173" i="2"/>
  <c r="P173" i="2"/>
  <c r="O173" i="2"/>
  <c r="N173" i="2"/>
  <c r="M173" i="2"/>
  <c r="W172" i="2"/>
  <c r="V172" i="2"/>
  <c r="T172" i="2"/>
  <c r="R172" i="2"/>
  <c r="Q172" i="2"/>
  <c r="P172" i="2"/>
  <c r="O172" i="2"/>
  <c r="N172" i="2"/>
  <c r="M172" i="2"/>
  <c r="W171" i="2"/>
  <c r="V171" i="2"/>
  <c r="T171" i="2"/>
  <c r="R171" i="2"/>
  <c r="Q171" i="2"/>
  <c r="P171" i="2"/>
  <c r="O171" i="2"/>
  <c r="N171" i="2"/>
  <c r="M171" i="2"/>
  <c r="W170" i="2"/>
  <c r="V170" i="2"/>
  <c r="T170" i="2"/>
  <c r="R170" i="2"/>
  <c r="Q170" i="2"/>
  <c r="P170" i="2"/>
  <c r="O170" i="2"/>
  <c r="N170" i="2"/>
  <c r="M170" i="2"/>
  <c r="W169" i="2"/>
  <c r="V169" i="2"/>
  <c r="T169" i="2"/>
  <c r="R169" i="2"/>
  <c r="Q169" i="2"/>
  <c r="P169" i="2"/>
  <c r="O169" i="2"/>
  <c r="N169" i="2"/>
  <c r="M169" i="2"/>
  <c r="W168" i="2"/>
  <c r="V168" i="2"/>
  <c r="T168" i="2"/>
  <c r="R168" i="2"/>
  <c r="Q168" i="2"/>
  <c r="P168" i="2"/>
  <c r="O168" i="2"/>
  <c r="N168" i="2"/>
  <c r="M168" i="2"/>
  <c r="W167" i="2"/>
  <c r="V167" i="2"/>
  <c r="T167" i="2"/>
  <c r="R167" i="2"/>
  <c r="Q167" i="2"/>
  <c r="P167" i="2"/>
  <c r="O167" i="2"/>
  <c r="N167" i="2"/>
  <c r="M167" i="2"/>
  <c r="W166" i="2"/>
  <c r="V166" i="2"/>
  <c r="T166" i="2"/>
  <c r="R166" i="2"/>
  <c r="Q166" i="2"/>
  <c r="P166" i="2"/>
  <c r="O166" i="2"/>
  <c r="N166" i="2"/>
  <c r="M166" i="2"/>
  <c r="W165" i="2"/>
  <c r="V165" i="2"/>
  <c r="T165" i="2"/>
  <c r="R165" i="2"/>
  <c r="Q165" i="2"/>
  <c r="P165" i="2"/>
  <c r="O165" i="2"/>
  <c r="N165" i="2"/>
  <c r="M165" i="2"/>
  <c r="W164" i="2"/>
  <c r="V164" i="2"/>
  <c r="T164" i="2"/>
  <c r="R164" i="2"/>
  <c r="Q164" i="2"/>
  <c r="P164" i="2"/>
  <c r="O164" i="2"/>
  <c r="N164" i="2"/>
  <c r="M164" i="2"/>
  <c r="W163" i="2"/>
  <c r="V163" i="2"/>
  <c r="T163" i="2"/>
  <c r="R163" i="2"/>
  <c r="Q163" i="2"/>
  <c r="P163" i="2"/>
  <c r="O163" i="2"/>
  <c r="N163" i="2"/>
  <c r="M163" i="2"/>
  <c r="W162" i="2"/>
  <c r="V162" i="2"/>
  <c r="T162" i="2"/>
  <c r="R162" i="2"/>
  <c r="Q162" i="2"/>
  <c r="P162" i="2"/>
  <c r="O162" i="2"/>
  <c r="N162" i="2"/>
  <c r="M162" i="2"/>
  <c r="W161" i="2"/>
  <c r="V161" i="2"/>
  <c r="T161" i="2"/>
  <c r="R161" i="2"/>
  <c r="Q161" i="2"/>
  <c r="P161" i="2"/>
  <c r="O161" i="2"/>
  <c r="N161" i="2"/>
  <c r="M161" i="2"/>
  <c r="W160" i="2"/>
  <c r="V160" i="2"/>
  <c r="T160" i="2"/>
  <c r="R160" i="2"/>
  <c r="Q160" i="2"/>
  <c r="P160" i="2"/>
  <c r="O160" i="2"/>
  <c r="N160" i="2"/>
  <c r="M160" i="2"/>
  <c r="W159" i="2"/>
  <c r="V159" i="2"/>
  <c r="T159" i="2"/>
  <c r="R159" i="2"/>
  <c r="Q159" i="2"/>
  <c r="P159" i="2"/>
  <c r="O159" i="2"/>
  <c r="N159" i="2"/>
  <c r="M159" i="2"/>
  <c r="W158" i="2"/>
  <c r="V158" i="2"/>
  <c r="T158" i="2"/>
  <c r="R158" i="2"/>
  <c r="Q158" i="2"/>
  <c r="P158" i="2"/>
  <c r="O158" i="2"/>
  <c r="N158" i="2"/>
  <c r="M158" i="2"/>
  <c r="AB157" i="2"/>
  <c r="W157" i="2"/>
  <c r="V157" i="2"/>
  <c r="T157" i="2"/>
  <c r="R157" i="2"/>
  <c r="Q157" i="2"/>
  <c r="P157" i="2"/>
  <c r="O157" i="2"/>
  <c r="N157" i="2"/>
  <c r="M157" i="2"/>
  <c r="W156" i="2"/>
  <c r="V156" i="2"/>
  <c r="T156" i="2"/>
  <c r="R156" i="2"/>
  <c r="Q156" i="2"/>
  <c r="P156" i="2"/>
  <c r="O156" i="2"/>
  <c r="N156" i="2"/>
  <c r="M156" i="2"/>
  <c r="W155" i="2"/>
  <c r="V155" i="2"/>
  <c r="T155" i="2"/>
  <c r="R155" i="2"/>
  <c r="Q155" i="2"/>
  <c r="P155" i="2"/>
  <c r="O155" i="2"/>
  <c r="N155" i="2"/>
  <c r="M155" i="2"/>
  <c r="W154" i="2"/>
  <c r="V154" i="2"/>
  <c r="T154" i="2"/>
  <c r="R154" i="2"/>
  <c r="Q154" i="2"/>
  <c r="P154" i="2"/>
  <c r="O154" i="2"/>
  <c r="N154" i="2"/>
  <c r="M154" i="2"/>
  <c r="W153" i="2"/>
  <c r="V153" i="2"/>
  <c r="T153" i="2"/>
  <c r="R153" i="2"/>
  <c r="Q153" i="2"/>
  <c r="P153" i="2"/>
  <c r="O153" i="2"/>
  <c r="N153" i="2"/>
  <c r="M153" i="2"/>
  <c r="W152" i="2"/>
  <c r="V152" i="2"/>
  <c r="T152" i="2"/>
  <c r="R152" i="2"/>
  <c r="Q152" i="2"/>
  <c r="P152" i="2"/>
  <c r="O152" i="2"/>
  <c r="N152" i="2"/>
  <c r="M152" i="2"/>
  <c r="W151" i="2"/>
  <c r="V151" i="2"/>
  <c r="T151" i="2"/>
  <c r="R151" i="2"/>
  <c r="Q151" i="2"/>
  <c r="P151" i="2"/>
  <c r="O151" i="2"/>
  <c r="N151" i="2"/>
  <c r="M151" i="2"/>
  <c r="W150" i="2"/>
  <c r="V150" i="2"/>
  <c r="T150" i="2"/>
  <c r="R150" i="2"/>
  <c r="Q150" i="2"/>
  <c r="P150" i="2"/>
  <c r="O150" i="2"/>
  <c r="N150" i="2"/>
  <c r="M150" i="2"/>
  <c r="W149" i="2"/>
  <c r="V149" i="2"/>
  <c r="T149" i="2"/>
  <c r="R149" i="2"/>
  <c r="Q149" i="2"/>
  <c r="P149" i="2"/>
  <c r="O149" i="2"/>
  <c r="N149" i="2"/>
  <c r="M149" i="2"/>
  <c r="W148" i="2"/>
  <c r="V148" i="2"/>
  <c r="T148" i="2"/>
  <c r="R148" i="2"/>
  <c r="Q148" i="2"/>
  <c r="P148" i="2"/>
  <c r="O148" i="2"/>
  <c r="N148" i="2"/>
  <c r="M148" i="2"/>
  <c r="W147" i="2"/>
  <c r="V147" i="2"/>
  <c r="T147" i="2"/>
  <c r="R147" i="2"/>
  <c r="Q147" i="2"/>
  <c r="P147" i="2"/>
  <c r="O147" i="2"/>
  <c r="N147" i="2"/>
  <c r="M147" i="2"/>
  <c r="W146" i="2"/>
  <c r="V146" i="2"/>
  <c r="T146" i="2"/>
  <c r="R146" i="2"/>
  <c r="Q146" i="2"/>
  <c r="P146" i="2"/>
  <c r="O146" i="2"/>
  <c r="N146" i="2"/>
  <c r="M146" i="2"/>
  <c r="W145" i="2"/>
  <c r="V145" i="2"/>
  <c r="T145" i="2"/>
  <c r="R145" i="2"/>
  <c r="Q145" i="2"/>
  <c r="P145" i="2"/>
  <c r="O145" i="2"/>
  <c r="N145" i="2"/>
  <c r="M145" i="2"/>
  <c r="W144" i="2"/>
  <c r="V144" i="2"/>
  <c r="T144" i="2"/>
  <c r="R144" i="2"/>
  <c r="Q144" i="2"/>
  <c r="P144" i="2"/>
  <c r="O144" i="2"/>
  <c r="N144" i="2"/>
  <c r="M144" i="2"/>
  <c r="W143" i="2"/>
  <c r="V143" i="2"/>
  <c r="T143" i="2"/>
  <c r="R143" i="2"/>
  <c r="Q143" i="2"/>
  <c r="P143" i="2"/>
  <c r="O143" i="2"/>
  <c r="N143" i="2"/>
  <c r="M143" i="2"/>
  <c r="W142" i="2"/>
  <c r="V142" i="2"/>
  <c r="T142" i="2"/>
  <c r="R142" i="2"/>
  <c r="Q142" i="2"/>
  <c r="P142" i="2"/>
  <c r="O142" i="2"/>
  <c r="N142" i="2"/>
  <c r="M142" i="2"/>
  <c r="W141" i="2"/>
  <c r="V141" i="2"/>
  <c r="T141" i="2"/>
  <c r="R141" i="2"/>
  <c r="Q141" i="2"/>
  <c r="P141" i="2"/>
  <c r="O141" i="2"/>
  <c r="N141" i="2"/>
  <c r="M141" i="2"/>
  <c r="W140" i="2"/>
  <c r="V140" i="2"/>
  <c r="T140" i="2"/>
  <c r="R140" i="2"/>
  <c r="Q140" i="2"/>
  <c r="P140" i="2"/>
  <c r="O140" i="2"/>
  <c r="N140" i="2"/>
  <c r="M140" i="2"/>
  <c r="W139" i="2"/>
  <c r="V139" i="2"/>
  <c r="T139" i="2"/>
  <c r="R139" i="2"/>
  <c r="Q139" i="2"/>
  <c r="P139" i="2"/>
  <c r="O139" i="2"/>
  <c r="N139" i="2"/>
  <c r="M139" i="2"/>
  <c r="W138" i="2"/>
  <c r="V138" i="2"/>
  <c r="T138" i="2"/>
  <c r="R138" i="2"/>
  <c r="Q138" i="2"/>
  <c r="P138" i="2"/>
  <c r="O138" i="2"/>
  <c r="N138" i="2"/>
  <c r="M138" i="2"/>
  <c r="W137" i="2"/>
  <c r="V137" i="2"/>
  <c r="T137" i="2"/>
  <c r="R137" i="2"/>
  <c r="Q137" i="2"/>
  <c r="P137" i="2"/>
  <c r="O137" i="2"/>
  <c r="N137" i="2"/>
  <c r="M137" i="2"/>
  <c r="W136" i="2"/>
  <c r="V136" i="2"/>
  <c r="U136" i="2"/>
  <c r="T136" i="2"/>
  <c r="R136" i="2"/>
  <c r="Q136" i="2"/>
  <c r="P136" i="2"/>
  <c r="O136" i="2"/>
  <c r="N136" i="2"/>
  <c r="M136" i="2"/>
  <c r="W135" i="2"/>
  <c r="V135" i="2"/>
  <c r="U135" i="2"/>
  <c r="T135" i="2"/>
  <c r="R135" i="2"/>
  <c r="Q135" i="2"/>
  <c r="P135" i="2"/>
  <c r="O135" i="2"/>
  <c r="N135" i="2"/>
  <c r="M135" i="2"/>
  <c r="W134" i="2"/>
  <c r="V134" i="2"/>
  <c r="U134" i="2"/>
  <c r="T134" i="2"/>
  <c r="R134" i="2"/>
  <c r="Q134" i="2"/>
  <c r="P134" i="2"/>
  <c r="O134" i="2"/>
  <c r="N134" i="2"/>
  <c r="M134" i="2"/>
  <c r="W133" i="2"/>
  <c r="V133" i="2"/>
  <c r="U133" i="2"/>
  <c r="T133" i="2"/>
  <c r="R133" i="2"/>
  <c r="Q133" i="2"/>
  <c r="P133" i="2"/>
  <c r="O133" i="2"/>
  <c r="N133" i="2"/>
  <c r="M133" i="2"/>
  <c r="W132" i="2"/>
  <c r="V132" i="2"/>
  <c r="U132" i="2"/>
  <c r="T132" i="2"/>
  <c r="R132" i="2"/>
  <c r="Q132" i="2"/>
  <c r="P132" i="2"/>
  <c r="O132" i="2"/>
  <c r="N132" i="2"/>
  <c r="M132" i="2"/>
  <c r="W131" i="2"/>
  <c r="V131" i="2"/>
  <c r="U131" i="2"/>
  <c r="T131" i="2"/>
  <c r="R131" i="2"/>
  <c r="Q131" i="2"/>
  <c r="P131" i="2"/>
  <c r="O131" i="2"/>
  <c r="N131" i="2"/>
  <c r="M131" i="2"/>
  <c r="W130" i="2"/>
  <c r="V130" i="2"/>
  <c r="U130" i="2"/>
  <c r="T130" i="2"/>
  <c r="R130" i="2"/>
  <c r="Q130" i="2"/>
  <c r="P130" i="2"/>
  <c r="O130" i="2"/>
  <c r="N130" i="2"/>
  <c r="M130" i="2"/>
  <c r="W129" i="2"/>
  <c r="V129" i="2"/>
  <c r="U129" i="2"/>
  <c r="T129" i="2"/>
  <c r="R129" i="2"/>
  <c r="Q129" i="2"/>
  <c r="P129" i="2"/>
  <c r="O129" i="2"/>
  <c r="N129" i="2"/>
  <c r="M129" i="2"/>
  <c r="W128" i="2"/>
  <c r="V128" i="2"/>
  <c r="U128" i="2"/>
  <c r="T128" i="2"/>
  <c r="R128" i="2"/>
  <c r="Q128" i="2"/>
  <c r="P128" i="2"/>
  <c r="O128" i="2"/>
  <c r="N128" i="2"/>
  <c r="M128" i="2"/>
  <c r="W127" i="2"/>
  <c r="V127" i="2"/>
  <c r="U127" i="2"/>
  <c r="T127" i="2"/>
  <c r="R127" i="2"/>
  <c r="Q127" i="2"/>
  <c r="P127" i="2"/>
  <c r="O127" i="2"/>
  <c r="N127" i="2"/>
  <c r="M127" i="2"/>
  <c r="W126" i="2"/>
  <c r="V126" i="2"/>
  <c r="U126" i="2"/>
  <c r="T126" i="2"/>
  <c r="R126" i="2"/>
  <c r="Q126" i="2"/>
  <c r="P126" i="2"/>
  <c r="O126" i="2"/>
  <c r="N126" i="2"/>
  <c r="M126" i="2"/>
  <c r="W125" i="2"/>
  <c r="V125" i="2"/>
  <c r="U125" i="2"/>
  <c r="T125" i="2"/>
  <c r="R125" i="2"/>
  <c r="Q125" i="2"/>
  <c r="P125" i="2"/>
  <c r="O125" i="2"/>
  <c r="N125" i="2"/>
  <c r="M125" i="2"/>
  <c r="W124" i="2"/>
  <c r="V124" i="2"/>
  <c r="U124" i="2"/>
  <c r="T124" i="2"/>
  <c r="R124" i="2"/>
  <c r="Q124" i="2"/>
  <c r="P124" i="2"/>
  <c r="O124" i="2"/>
  <c r="N124" i="2"/>
  <c r="M124" i="2"/>
  <c r="W123" i="2"/>
  <c r="V123" i="2"/>
  <c r="U123" i="2"/>
  <c r="T123" i="2"/>
  <c r="R123" i="2"/>
  <c r="Q123" i="2"/>
  <c r="P123" i="2"/>
  <c r="O123" i="2"/>
  <c r="N123" i="2"/>
  <c r="M123" i="2"/>
  <c r="W122" i="2"/>
  <c r="V122" i="2"/>
  <c r="U122" i="2"/>
  <c r="T122" i="2"/>
  <c r="R122" i="2"/>
  <c r="Q122" i="2"/>
  <c r="P122" i="2"/>
  <c r="O122" i="2"/>
  <c r="N122" i="2"/>
  <c r="M122" i="2"/>
  <c r="W121" i="2"/>
  <c r="V121" i="2"/>
  <c r="U121" i="2"/>
  <c r="T121" i="2"/>
  <c r="R121" i="2"/>
  <c r="Q121" i="2"/>
  <c r="P121" i="2"/>
  <c r="O121" i="2"/>
  <c r="N121" i="2"/>
  <c r="M121" i="2"/>
  <c r="W120" i="2"/>
  <c r="V120" i="2"/>
  <c r="U120" i="2"/>
  <c r="T120" i="2"/>
  <c r="R120" i="2"/>
  <c r="Q120" i="2"/>
  <c r="P120" i="2"/>
  <c r="O120" i="2"/>
  <c r="N120" i="2"/>
  <c r="M120" i="2"/>
  <c r="AB119" i="2"/>
  <c r="W119" i="2"/>
  <c r="V119" i="2"/>
  <c r="U119" i="2"/>
  <c r="T119" i="2"/>
  <c r="R119" i="2"/>
  <c r="Q119" i="2"/>
  <c r="P119" i="2"/>
  <c r="O119" i="2"/>
  <c r="N119" i="2"/>
  <c r="M119" i="2"/>
  <c r="W118" i="2"/>
  <c r="V118" i="2"/>
  <c r="U118" i="2"/>
  <c r="T118" i="2"/>
  <c r="R118" i="2"/>
  <c r="Q118" i="2"/>
  <c r="P118" i="2"/>
  <c r="O118" i="2"/>
  <c r="N118" i="2"/>
  <c r="M118" i="2"/>
  <c r="W117" i="2"/>
  <c r="V117" i="2"/>
  <c r="U117" i="2"/>
  <c r="T117" i="2"/>
  <c r="R117" i="2"/>
  <c r="Q117" i="2"/>
  <c r="P117" i="2"/>
  <c r="O117" i="2"/>
  <c r="N117" i="2"/>
  <c r="M117" i="2"/>
  <c r="W116" i="2"/>
  <c r="V116" i="2"/>
  <c r="U116" i="2"/>
  <c r="T116" i="2"/>
  <c r="R116" i="2"/>
  <c r="Q116" i="2"/>
  <c r="P116" i="2"/>
  <c r="O116" i="2"/>
  <c r="N116" i="2"/>
  <c r="M116" i="2"/>
  <c r="W115" i="2"/>
  <c r="V115" i="2"/>
  <c r="U115" i="2"/>
  <c r="T115" i="2"/>
  <c r="R115" i="2"/>
  <c r="Q115" i="2"/>
  <c r="P115" i="2"/>
  <c r="O115" i="2"/>
  <c r="N115" i="2"/>
  <c r="M115" i="2"/>
  <c r="W114" i="2"/>
  <c r="V114" i="2"/>
  <c r="U114" i="2"/>
  <c r="T114" i="2"/>
  <c r="R114" i="2"/>
  <c r="Q114" i="2"/>
  <c r="P114" i="2"/>
  <c r="O114" i="2"/>
  <c r="N114" i="2"/>
  <c r="M114" i="2"/>
  <c r="W113" i="2"/>
  <c r="V113" i="2"/>
  <c r="U113" i="2"/>
  <c r="T113" i="2"/>
  <c r="R113" i="2"/>
  <c r="Q113" i="2"/>
  <c r="P113" i="2"/>
  <c r="O113" i="2"/>
  <c r="N113" i="2"/>
  <c r="M113" i="2"/>
  <c r="W112" i="2"/>
  <c r="V112" i="2"/>
  <c r="U112" i="2"/>
  <c r="T112" i="2"/>
  <c r="R112" i="2"/>
  <c r="Q112" i="2"/>
  <c r="P112" i="2"/>
  <c r="O112" i="2"/>
  <c r="N112" i="2"/>
  <c r="M112" i="2"/>
  <c r="W111" i="2"/>
  <c r="V111" i="2"/>
  <c r="U111" i="2"/>
  <c r="T111" i="2"/>
  <c r="R111" i="2"/>
  <c r="Q111" i="2"/>
  <c r="P111" i="2"/>
  <c r="O111" i="2"/>
  <c r="N111" i="2"/>
  <c r="M111" i="2"/>
  <c r="W110" i="2"/>
  <c r="V110" i="2"/>
  <c r="U110" i="2"/>
  <c r="T110" i="2"/>
  <c r="R110" i="2"/>
  <c r="Q110" i="2"/>
  <c r="P110" i="2"/>
  <c r="O110" i="2"/>
  <c r="N110" i="2"/>
  <c r="M110" i="2"/>
  <c r="W109" i="2"/>
  <c r="V109" i="2"/>
  <c r="U109" i="2"/>
  <c r="T109" i="2"/>
  <c r="R109" i="2"/>
  <c r="Q109" i="2"/>
  <c r="P109" i="2"/>
  <c r="O109" i="2"/>
  <c r="N109" i="2"/>
  <c r="M109" i="2"/>
  <c r="W108" i="2"/>
  <c r="V108" i="2"/>
  <c r="U108" i="2"/>
  <c r="T108" i="2"/>
  <c r="R108" i="2"/>
  <c r="Q108" i="2"/>
  <c r="P108" i="2"/>
  <c r="O108" i="2"/>
  <c r="N108" i="2"/>
  <c r="M108" i="2"/>
  <c r="W107" i="2"/>
  <c r="V107" i="2"/>
  <c r="U107" i="2"/>
  <c r="T107" i="2"/>
  <c r="R107" i="2"/>
  <c r="Q107" i="2"/>
  <c r="P107" i="2"/>
  <c r="O107" i="2"/>
  <c r="N107" i="2"/>
  <c r="M107" i="2"/>
  <c r="W106" i="2"/>
  <c r="V106" i="2"/>
  <c r="U106" i="2"/>
  <c r="T106" i="2"/>
  <c r="R106" i="2"/>
  <c r="Q106" i="2"/>
  <c r="P106" i="2"/>
  <c r="O106" i="2"/>
  <c r="N106" i="2"/>
  <c r="M106" i="2"/>
  <c r="W105" i="2"/>
  <c r="V105" i="2"/>
  <c r="U105" i="2"/>
  <c r="T105" i="2"/>
  <c r="R105" i="2"/>
  <c r="Q105" i="2"/>
  <c r="P105" i="2"/>
  <c r="O105" i="2"/>
  <c r="N105" i="2"/>
  <c r="M105" i="2"/>
  <c r="W104" i="2"/>
  <c r="V104" i="2"/>
  <c r="U104" i="2"/>
  <c r="T104" i="2"/>
  <c r="R104" i="2"/>
  <c r="Q104" i="2"/>
  <c r="P104" i="2"/>
  <c r="O104" i="2"/>
  <c r="N104" i="2"/>
  <c r="M104" i="2"/>
  <c r="W103" i="2"/>
  <c r="V103" i="2"/>
  <c r="U103" i="2"/>
  <c r="T103" i="2"/>
  <c r="R103" i="2"/>
  <c r="Q103" i="2"/>
  <c r="P103" i="2"/>
  <c r="O103" i="2"/>
  <c r="N103" i="2"/>
  <c r="M103" i="2"/>
  <c r="W102" i="2"/>
  <c r="V102" i="2"/>
  <c r="U102" i="2"/>
  <c r="T102" i="2"/>
  <c r="R102" i="2"/>
  <c r="Q102" i="2"/>
  <c r="P102" i="2"/>
  <c r="O102" i="2"/>
  <c r="N102" i="2"/>
  <c r="M102" i="2"/>
  <c r="W101" i="2"/>
  <c r="V101" i="2"/>
  <c r="U101" i="2"/>
  <c r="T101" i="2"/>
  <c r="R101" i="2"/>
  <c r="Q101" i="2"/>
  <c r="P101" i="2"/>
  <c r="O101" i="2"/>
  <c r="N101" i="2"/>
  <c r="M101" i="2"/>
  <c r="W100" i="2"/>
  <c r="V100" i="2"/>
  <c r="U100" i="2"/>
  <c r="T100" i="2"/>
  <c r="R100" i="2"/>
  <c r="Q100" i="2"/>
  <c r="P100" i="2"/>
  <c r="O100" i="2"/>
  <c r="N100" i="2"/>
  <c r="M100" i="2"/>
  <c r="W99" i="2"/>
  <c r="V99" i="2"/>
  <c r="U99" i="2"/>
  <c r="T99" i="2"/>
  <c r="R99" i="2"/>
  <c r="Q99" i="2"/>
  <c r="P99" i="2"/>
  <c r="O99" i="2"/>
  <c r="N99" i="2"/>
  <c r="M99" i="2"/>
  <c r="W98" i="2"/>
  <c r="V98" i="2"/>
  <c r="U98" i="2"/>
  <c r="T98" i="2"/>
  <c r="R98" i="2"/>
  <c r="Q98" i="2"/>
  <c r="P98" i="2"/>
  <c r="O98" i="2"/>
  <c r="N98" i="2"/>
  <c r="M98" i="2"/>
  <c r="W97" i="2"/>
  <c r="V97" i="2"/>
  <c r="U97" i="2"/>
  <c r="T97" i="2"/>
  <c r="R97" i="2"/>
  <c r="Q97" i="2"/>
  <c r="P97" i="2"/>
  <c r="O97" i="2"/>
  <c r="N97" i="2"/>
  <c r="M97" i="2"/>
  <c r="W96" i="2"/>
  <c r="V96" i="2"/>
  <c r="U96" i="2"/>
  <c r="T96" i="2"/>
  <c r="R96" i="2"/>
  <c r="Q96" i="2"/>
  <c r="P96" i="2"/>
  <c r="O96" i="2"/>
  <c r="N96" i="2"/>
  <c r="M96" i="2"/>
  <c r="W95" i="2"/>
  <c r="V95" i="2"/>
  <c r="U95" i="2"/>
  <c r="T95" i="2"/>
  <c r="R95" i="2"/>
  <c r="Q95" i="2"/>
  <c r="P95" i="2"/>
  <c r="O95" i="2"/>
  <c r="N95" i="2"/>
  <c r="M95" i="2"/>
  <c r="W94" i="2"/>
  <c r="V94" i="2"/>
  <c r="U94" i="2"/>
  <c r="T94" i="2"/>
  <c r="R94" i="2"/>
  <c r="Q94" i="2"/>
  <c r="P94" i="2"/>
  <c r="O94" i="2"/>
  <c r="N94" i="2"/>
  <c r="M94" i="2"/>
  <c r="W93" i="2"/>
  <c r="V93" i="2"/>
  <c r="U93" i="2"/>
  <c r="T93" i="2"/>
  <c r="R93" i="2"/>
  <c r="Q93" i="2"/>
  <c r="P93" i="2"/>
  <c r="O93" i="2"/>
  <c r="N93" i="2"/>
  <c r="M93" i="2"/>
  <c r="W92" i="2"/>
  <c r="V92" i="2"/>
  <c r="U92" i="2"/>
  <c r="T92" i="2"/>
  <c r="R92" i="2"/>
  <c r="Q92" i="2"/>
  <c r="P92" i="2"/>
  <c r="O92" i="2"/>
  <c r="N92" i="2"/>
  <c r="M92" i="2"/>
  <c r="W91" i="2"/>
  <c r="V91" i="2"/>
  <c r="U91" i="2"/>
  <c r="T91" i="2"/>
  <c r="R91" i="2"/>
  <c r="Q91" i="2"/>
  <c r="P91" i="2"/>
  <c r="O91" i="2"/>
  <c r="N91" i="2"/>
  <c r="M91" i="2"/>
  <c r="W90" i="2"/>
  <c r="V90" i="2"/>
  <c r="U90" i="2"/>
  <c r="T90" i="2"/>
  <c r="R90" i="2"/>
  <c r="Q90" i="2"/>
  <c r="P90" i="2"/>
  <c r="O90" i="2"/>
  <c r="N90" i="2"/>
  <c r="M90" i="2"/>
  <c r="W89" i="2"/>
  <c r="V89" i="2"/>
  <c r="U89" i="2"/>
  <c r="T89" i="2"/>
  <c r="R89" i="2"/>
  <c r="Q89" i="2"/>
  <c r="P89" i="2"/>
  <c r="O89" i="2"/>
  <c r="N89" i="2"/>
  <c r="M89" i="2"/>
  <c r="W88" i="2"/>
  <c r="V88" i="2"/>
  <c r="U88" i="2"/>
  <c r="T88" i="2"/>
  <c r="R88" i="2"/>
  <c r="Q88" i="2"/>
  <c r="P88" i="2"/>
  <c r="O88" i="2"/>
  <c r="N88" i="2"/>
  <c r="M88" i="2"/>
  <c r="W87" i="2"/>
  <c r="V87" i="2"/>
  <c r="U87" i="2"/>
  <c r="T87" i="2"/>
  <c r="R87" i="2"/>
  <c r="Q87" i="2"/>
  <c r="P87" i="2"/>
  <c r="O87" i="2"/>
  <c r="N87" i="2"/>
  <c r="M87" i="2"/>
  <c r="W86" i="2"/>
  <c r="V86" i="2"/>
  <c r="U86" i="2"/>
  <c r="T86" i="2"/>
  <c r="R86" i="2"/>
  <c r="Q86" i="2"/>
  <c r="P86" i="2"/>
  <c r="O86" i="2"/>
  <c r="N86" i="2"/>
  <c r="M86" i="2"/>
  <c r="W85" i="2"/>
  <c r="V85" i="2"/>
  <c r="U85" i="2"/>
  <c r="T85" i="2"/>
  <c r="R85" i="2"/>
  <c r="Q85" i="2"/>
  <c r="P85" i="2"/>
  <c r="O85" i="2"/>
  <c r="N85" i="2"/>
  <c r="M85" i="2"/>
  <c r="W84" i="2"/>
  <c r="V84" i="2"/>
  <c r="U84" i="2"/>
  <c r="T84" i="2"/>
  <c r="R84" i="2"/>
  <c r="Q84" i="2"/>
  <c r="P84" i="2"/>
  <c r="O84" i="2"/>
  <c r="N84" i="2"/>
  <c r="M84" i="2"/>
  <c r="W83" i="2"/>
  <c r="V83" i="2"/>
  <c r="U83" i="2"/>
  <c r="T83" i="2"/>
  <c r="R83" i="2"/>
  <c r="Q83" i="2"/>
  <c r="P83" i="2"/>
  <c r="O83" i="2"/>
  <c r="N83" i="2"/>
  <c r="M83" i="2"/>
  <c r="W82" i="2"/>
  <c r="V82" i="2"/>
  <c r="U82" i="2"/>
  <c r="T82" i="2"/>
  <c r="R82" i="2"/>
  <c r="Q82" i="2"/>
  <c r="P82" i="2"/>
  <c r="O82" i="2"/>
  <c r="N82" i="2"/>
  <c r="M82" i="2"/>
  <c r="W81" i="2"/>
  <c r="V81" i="2"/>
  <c r="U81" i="2"/>
  <c r="T81" i="2"/>
  <c r="R81" i="2"/>
  <c r="Q81" i="2"/>
  <c r="P81" i="2"/>
  <c r="O81" i="2"/>
  <c r="N81" i="2"/>
  <c r="M81" i="2"/>
  <c r="W80" i="2"/>
  <c r="V80" i="2"/>
  <c r="U80" i="2"/>
  <c r="T80" i="2"/>
  <c r="R80" i="2"/>
  <c r="Q80" i="2"/>
  <c r="P80" i="2"/>
  <c r="O80" i="2"/>
  <c r="N80" i="2"/>
  <c r="M80" i="2"/>
  <c r="W79" i="2"/>
  <c r="V79" i="2"/>
  <c r="U79" i="2"/>
  <c r="T79" i="2"/>
  <c r="R79" i="2"/>
  <c r="Q79" i="2"/>
  <c r="P79" i="2"/>
  <c r="O79" i="2"/>
  <c r="N79" i="2"/>
  <c r="M79" i="2"/>
  <c r="AB78" i="2"/>
  <c r="W78" i="2"/>
  <c r="V78" i="2"/>
  <c r="U78" i="2"/>
  <c r="T78" i="2"/>
  <c r="R78" i="2"/>
  <c r="Q78" i="2"/>
  <c r="P78" i="2"/>
  <c r="O78" i="2"/>
  <c r="N78" i="2"/>
  <c r="M78" i="2"/>
  <c r="W77" i="2"/>
  <c r="V77" i="2"/>
  <c r="U77" i="2"/>
  <c r="T77" i="2"/>
  <c r="R77" i="2"/>
  <c r="Q77" i="2"/>
  <c r="P77" i="2"/>
  <c r="O77" i="2"/>
  <c r="N77" i="2"/>
  <c r="M77" i="2"/>
  <c r="W76" i="2"/>
  <c r="V76" i="2"/>
  <c r="U76" i="2"/>
  <c r="T76" i="2"/>
  <c r="R76" i="2"/>
  <c r="Q76" i="2"/>
  <c r="P76" i="2"/>
  <c r="O76" i="2"/>
  <c r="N76" i="2"/>
  <c r="M76" i="2"/>
  <c r="W75" i="2"/>
  <c r="V75" i="2"/>
  <c r="U75" i="2"/>
  <c r="T75" i="2"/>
  <c r="R75" i="2"/>
  <c r="Q75" i="2"/>
  <c r="P75" i="2"/>
  <c r="O75" i="2"/>
  <c r="N75" i="2"/>
  <c r="M75" i="2"/>
  <c r="W74" i="2"/>
  <c r="V74" i="2"/>
  <c r="U74" i="2"/>
  <c r="T74" i="2"/>
  <c r="R74" i="2"/>
  <c r="Q74" i="2"/>
  <c r="P74" i="2"/>
  <c r="O74" i="2"/>
  <c r="N74" i="2"/>
  <c r="M74" i="2"/>
  <c r="W73" i="2"/>
  <c r="V73" i="2"/>
  <c r="U73" i="2"/>
  <c r="T73" i="2"/>
  <c r="R73" i="2"/>
  <c r="Q73" i="2"/>
  <c r="P73" i="2"/>
  <c r="O73" i="2"/>
  <c r="N73" i="2"/>
  <c r="M73" i="2"/>
  <c r="W72" i="2"/>
  <c r="V72" i="2"/>
  <c r="U72" i="2"/>
  <c r="T72" i="2"/>
  <c r="R72" i="2"/>
  <c r="Q72" i="2"/>
  <c r="P72" i="2"/>
  <c r="O72" i="2"/>
  <c r="N72" i="2"/>
  <c r="M72" i="2"/>
  <c r="W71" i="2"/>
  <c r="V71" i="2"/>
  <c r="U71" i="2"/>
  <c r="T71" i="2"/>
  <c r="R71" i="2"/>
  <c r="Q71" i="2"/>
  <c r="P71" i="2"/>
  <c r="O71" i="2"/>
  <c r="N71" i="2"/>
  <c r="M71" i="2"/>
  <c r="W70" i="2"/>
  <c r="V70" i="2"/>
  <c r="U70" i="2"/>
  <c r="T70" i="2"/>
  <c r="R70" i="2"/>
  <c r="Q70" i="2"/>
  <c r="P70" i="2"/>
  <c r="O70" i="2"/>
  <c r="N70" i="2"/>
  <c r="M70" i="2"/>
  <c r="W69" i="2"/>
  <c r="V69" i="2"/>
  <c r="U69" i="2"/>
  <c r="T69" i="2"/>
  <c r="R69" i="2"/>
  <c r="Q69" i="2"/>
  <c r="P69" i="2"/>
  <c r="O69" i="2"/>
  <c r="N69" i="2"/>
  <c r="M69" i="2"/>
  <c r="W68" i="2"/>
  <c r="V68" i="2"/>
  <c r="U68" i="2"/>
  <c r="T68" i="2"/>
  <c r="R68" i="2"/>
  <c r="Q68" i="2"/>
  <c r="P68" i="2"/>
  <c r="O68" i="2"/>
  <c r="N68" i="2"/>
  <c r="M68" i="2"/>
  <c r="W67" i="2"/>
  <c r="V67" i="2"/>
  <c r="U67" i="2"/>
  <c r="T67" i="2"/>
  <c r="R67" i="2"/>
  <c r="Q67" i="2"/>
  <c r="P67" i="2"/>
  <c r="O67" i="2"/>
  <c r="N67" i="2"/>
  <c r="M67" i="2"/>
  <c r="W66" i="2"/>
  <c r="V66" i="2"/>
  <c r="U66" i="2"/>
  <c r="T66" i="2"/>
  <c r="R66" i="2"/>
  <c r="Q66" i="2"/>
  <c r="P66" i="2"/>
  <c r="O66" i="2"/>
  <c r="N66" i="2"/>
  <c r="M66" i="2"/>
  <c r="W65" i="2"/>
  <c r="V65" i="2"/>
  <c r="U65" i="2"/>
  <c r="T65" i="2"/>
  <c r="R65" i="2"/>
  <c r="Q65" i="2"/>
  <c r="P65" i="2"/>
  <c r="O65" i="2"/>
  <c r="N65" i="2"/>
  <c r="M65" i="2"/>
  <c r="AB64" i="2"/>
  <c r="W64" i="2"/>
  <c r="V64" i="2"/>
  <c r="U64" i="2"/>
  <c r="T64" i="2"/>
  <c r="R64" i="2"/>
  <c r="Q64" i="2"/>
  <c r="P64" i="2"/>
  <c r="O64" i="2"/>
  <c r="N64" i="2"/>
  <c r="M64" i="2"/>
  <c r="AB63" i="2"/>
  <c r="W63" i="2"/>
  <c r="V63" i="2"/>
  <c r="U63" i="2"/>
  <c r="T63" i="2"/>
  <c r="R63" i="2"/>
  <c r="Q63" i="2"/>
  <c r="P63" i="2"/>
  <c r="O63" i="2"/>
  <c r="N63" i="2"/>
  <c r="M63" i="2"/>
  <c r="AB62" i="2"/>
  <c r="W62" i="2"/>
  <c r="V62" i="2"/>
  <c r="R62" i="2"/>
  <c r="P62" i="2"/>
  <c r="O62" i="2"/>
  <c r="N62" i="2"/>
  <c r="M62" i="2"/>
  <c r="AB61" i="2"/>
  <c r="W61" i="2"/>
  <c r="V61" i="2"/>
  <c r="U61" i="2"/>
  <c r="T61" i="2"/>
  <c r="R61" i="2"/>
  <c r="Q61" i="2"/>
  <c r="P61" i="2"/>
  <c r="O61" i="2"/>
  <c r="N61" i="2"/>
  <c r="M61" i="2"/>
  <c r="AB60" i="2"/>
  <c r="W60" i="2"/>
  <c r="V60" i="2"/>
  <c r="U60" i="2"/>
  <c r="T60" i="2"/>
  <c r="R60" i="2"/>
  <c r="Q60" i="2"/>
  <c r="P60" i="2"/>
  <c r="O60" i="2"/>
  <c r="N60" i="2"/>
  <c r="M60" i="2"/>
  <c r="AB59" i="2"/>
  <c r="W59" i="2"/>
  <c r="V59" i="2"/>
  <c r="U59" i="2"/>
  <c r="T59" i="2"/>
  <c r="R59" i="2"/>
  <c r="Q59" i="2"/>
  <c r="P59" i="2"/>
  <c r="O59" i="2"/>
  <c r="N59" i="2"/>
  <c r="M59" i="2"/>
  <c r="AB58" i="2"/>
  <c r="W58" i="2"/>
  <c r="V58" i="2"/>
  <c r="U58" i="2"/>
  <c r="T58" i="2"/>
  <c r="R58" i="2"/>
  <c r="Q58" i="2"/>
  <c r="P58" i="2"/>
  <c r="O58" i="2"/>
  <c r="N58" i="2"/>
  <c r="M58" i="2"/>
  <c r="AB57" i="2"/>
  <c r="W57" i="2"/>
  <c r="V57" i="2"/>
  <c r="U57" i="2"/>
  <c r="T57" i="2"/>
  <c r="R57" i="2"/>
  <c r="Q57" i="2"/>
  <c r="P57" i="2"/>
  <c r="O57" i="2"/>
  <c r="N57" i="2"/>
  <c r="M57" i="2"/>
  <c r="W56" i="2"/>
  <c r="V56" i="2"/>
  <c r="U56" i="2"/>
  <c r="T56" i="2"/>
  <c r="R56" i="2"/>
  <c r="Q56" i="2"/>
  <c r="P56" i="2"/>
  <c r="O56" i="2"/>
  <c r="N56" i="2"/>
  <c r="M56" i="2"/>
  <c r="W55" i="2"/>
  <c r="V55" i="2"/>
  <c r="U55" i="2"/>
  <c r="T55" i="2"/>
  <c r="R55" i="2"/>
  <c r="Q55" i="2"/>
  <c r="P55" i="2"/>
  <c r="O55" i="2"/>
  <c r="N55" i="2"/>
  <c r="M55" i="2"/>
  <c r="W54" i="2"/>
  <c r="V54" i="2"/>
  <c r="U54" i="2"/>
  <c r="T54" i="2"/>
  <c r="R54" i="2"/>
  <c r="Q54" i="2"/>
  <c r="P54" i="2"/>
  <c r="O54" i="2"/>
  <c r="N54" i="2"/>
  <c r="M54" i="2"/>
  <c r="W53" i="2"/>
  <c r="V53" i="2"/>
  <c r="U53" i="2"/>
  <c r="T53" i="2"/>
  <c r="R53" i="2"/>
  <c r="Q53" i="2"/>
  <c r="P53" i="2"/>
  <c r="O53" i="2"/>
  <c r="N53" i="2"/>
  <c r="M53" i="2"/>
  <c r="W52" i="2"/>
  <c r="V52" i="2"/>
  <c r="U52" i="2"/>
  <c r="T52" i="2"/>
  <c r="R52" i="2"/>
  <c r="Q52" i="2"/>
  <c r="P52" i="2"/>
  <c r="O52" i="2"/>
  <c r="N52" i="2"/>
  <c r="M52" i="2"/>
  <c r="W51" i="2"/>
  <c r="V51" i="2"/>
  <c r="U51" i="2"/>
  <c r="T51" i="2"/>
  <c r="R51" i="2"/>
  <c r="Q51" i="2"/>
  <c r="P51" i="2"/>
  <c r="O51" i="2"/>
  <c r="N51" i="2"/>
  <c r="M51" i="2"/>
  <c r="W50" i="2"/>
  <c r="V50" i="2"/>
  <c r="U50" i="2"/>
  <c r="T50" i="2"/>
  <c r="R50" i="2"/>
  <c r="Q50" i="2"/>
  <c r="P50" i="2"/>
  <c r="O50" i="2"/>
  <c r="N50" i="2"/>
  <c r="M50" i="2"/>
  <c r="W49" i="2"/>
  <c r="V49" i="2"/>
  <c r="U49" i="2"/>
  <c r="T49" i="2"/>
  <c r="R49" i="2"/>
  <c r="Q49" i="2"/>
  <c r="P49" i="2"/>
  <c r="O49" i="2"/>
  <c r="N49" i="2"/>
  <c r="M49" i="2"/>
  <c r="W48" i="2"/>
  <c r="V48" i="2"/>
  <c r="U48" i="2"/>
  <c r="T48" i="2"/>
  <c r="R48" i="2"/>
  <c r="Q48" i="2"/>
  <c r="P48" i="2"/>
  <c r="O48" i="2"/>
  <c r="N48" i="2"/>
  <c r="M48" i="2"/>
  <c r="W47" i="2"/>
  <c r="V47" i="2"/>
  <c r="U47" i="2"/>
  <c r="T47" i="2"/>
  <c r="R47" i="2"/>
  <c r="Q47" i="2"/>
  <c r="P47" i="2"/>
  <c r="O47" i="2"/>
  <c r="N47" i="2"/>
  <c r="M47" i="2"/>
  <c r="W46" i="2"/>
  <c r="V46" i="2"/>
  <c r="U46" i="2"/>
  <c r="T46" i="2"/>
  <c r="R46" i="2"/>
  <c r="Q46" i="2"/>
  <c r="P46" i="2"/>
  <c r="O46" i="2"/>
  <c r="N46" i="2"/>
  <c r="M46" i="2"/>
  <c r="W45" i="2"/>
  <c r="V45" i="2"/>
  <c r="U45" i="2"/>
  <c r="T45" i="2"/>
  <c r="R45" i="2"/>
  <c r="Q45" i="2"/>
  <c r="P45" i="2"/>
  <c r="O45" i="2"/>
  <c r="N45" i="2"/>
  <c r="M45" i="2"/>
  <c r="W44" i="2"/>
  <c r="V44" i="2"/>
  <c r="U44" i="2"/>
  <c r="T44" i="2"/>
  <c r="R44" i="2"/>
  <c r="Q44" i="2"/>
  <c r="P44" i="2"/>
  <c r="O44" i="2"/>
  <c r="N44" i="2"/>
  <c r="M44" i="2"/>
  <c r="W43" i="2"/>
  <c r="V43" i="2"/>
  <c r="U43" i="2"/>
  <c r="T43" i="2"/>
  <c r="R43" i="2"/>
  <c r="Q43" i="2"/>
  <c r="P43" i="2"/>
  <c r="O43" i="2"/>
  <c r="N43" i="2"/>
  <c r="M43" i="2"/>
  <c r="W42" i="2"/>
  <c r="V42" i="2"/>
  <c r="U42" i="2"/>
  <c r="T42" i="2"/>
  <c r="R42" i="2"/>
  <c r="Q42" i="2"/>
  <c r="P42" i="2"/>
  <c r="O42" i="2"/>
  <c r="N42" i="2"/>
  <c r="M42" i="2"/>
  <c r="W41" i="2"/>
  <c r="V41" i="2"/>
  <c r="U41" i="2"/>
  <c r="T41" i="2"/>
  <c r="R41" i="2"/>
  <c r="Q41" i="2"/>
  <c r="P41" i="2"/>
  <c r="O41" i="2"/>
  <c r="N41" i="2"/>
  <c r="M41" i="2"/>
  <c r="W40" i="2"/>
  <c r="V40" i="2"/>
  <c r="U40" i="2"/>
  <c r="T40" i="2"/>
  <c r="R40" i="2"/>
  <c r="Q40" i="2"/>
  <c r="P40" i="2"/>
  <c r="O40" i="2"/>
  <c r="N40" i="2"/>
  <c r="M40" i="2"/>
  <c r="W39" i="2"/>
  <c r="V39" i="2"/>
  <c r="U39" i="2"/>
  <c r="T39" i="2"/>
  <c r="R39" i="2"/>
  <c r="Q39" i="2"/>
  <c r="P39" i="2"/>
  <c r="O39" i="2"/>
  <c r="N39" i="2"/>
  <c r="M39" i="2"/>
  <c r="W38" i="2"/>
  <c r="V38" i="2"/>
  <c r="U38" i="2"/>
  <c r="T38" i="2"/>
  <c r="R38" i="2"/>
  <c r="Q38" i="2"/>
  <c r="P38" i="2"/>
  <c r="O38" i="2"/>
  <c r="N38" i="2"/>
  <c r="M38" i="2"/>
  <c r="W37" i="2"/>
  <c r="V37" i="2"/>
  <c r="U37" i="2"/>
  <c r="T37" i="2"/>
  <c r="R37" i="2"/>
  <c r="Q37" i="2"/>
  <c r="P37" i="2"/>
  <c r="O37" i="2"/>
  <c r="N37" i="2"/>
  <c r="M37" i="2"/>
  <c r="W36" i="2"/>
  <c r="V36" i="2"/>
  <c r="U36" i="2"/>
  <c r="T36" i="2"/>
  <c r="R36" i="2"/>
  <c r="Q36" i="2"/>
  <c r="P36" i="2"/>
  <c r="O36" i="2"/>
  <c r="N36" i="2"/>
  <c r="M36" i="2"/>
  <c r="W35" i="2"/>
  <c r="V35" i="2"/>
  <c r="U35" i="2"/>
  <c r="T35" i="2"/>
  <c r="R35" i="2"/>
  <c r="Q35" i="2"/>
  <c r="P35" i="2"/>
  <c r="O35" i="2"/>
  <c r="N35" i="2"/>
  <c r="M35" i="2"/>
  <c r="W34" i="2"/>
  <c r="V34" i="2"/>
  <c r="U34" i="2"/>
  <c r="T34" i="2"/>
  <c r="R34" i="2"/>
  <c r="Q34" i="2"/>
  <c r="P34" i="2"/>
  <c r="O34" i="2"/>
  <c r="N34" i="2"/>
  <c r="M34" i="2"/>
  <c r="W33" i="2"/>
  <c r="V33" i="2"/>
  <c r="U33" i="2"/>
  <c r="T33" i="2"/>
  <c r="R33" i="2"/>
  <c r="Q33" i="2"/>
  <c r="P33" i="2"/>
  <c r="O33" i="2"/>
  <c r="N33" i="2"/>
  <c r="M33" i="2"/>
  <c r="W32" i="2"/>
  <c r="V32" i="2"/>
  <c r="U32" i="2"/>
  <c r="T32" i="2"/>
  <c r="R32" i="2"/>
  <c r="Q32" i="2"/>
  <c r="P32" i="2"/>
  <c r="O32" i="2"/>
  <c r="N32" i="2"/>
  <c r="M32" i="2"/>
  <c r="W31" i="2"/>
  <c r="V31" i="2"/>
  <c r="U31" i="2"/>
  <c r="T31" i="2"/>
  <c r="R31" i="2"/>
  <c r="Q31" i="2"/>
  <c r="P31" i="2"/>
  <c r="O31" i="2"/>
  <c r="N31" i="2"/>
  <c r="M31" i="2"/>
  <c r="W30" i="2"/>
  <c r="V30" i="2"/>
  <c r="U30" i="2"/>
  <c r="T30" i="2"/>
  <c r="R30" i="2"/>
  <c r="Q30" i="2"/>
  <c r="P30" i="2"/>
  <c r="O30" i="2"/>
  <c r="N30" i="2"/>
  <c r="M30" i="2"/>
  <c r="W29" i="2"/>
  <c r="V29" i="2"/>
  <c r="U29" i="2"/>
  <c r="T29" i="2"/>
  <c r="R29" i="2"/>
  <c r="Q29" i="2"/>
  <c r="P29" i="2"/>
  <c r="O29" i="2"/>
  <c r="N29" i="2"/>
  <c r="M29" i="2"/>
  <c r="W28" i="2"/>
  <c r="V28" i="2"/>
  <c r="U28" i="2"/>
  <c r="T28" i="2"/>
  <c r="R28" i="2"/>
  <c r="Q28" i="2"/>
  <c r="P28" i="2"/>
  <c r="O28" i="2"/>
  <c r="N28" i="2"/>
  <c r="M28" i="2"/>
  <c r="W27" i="2"/>
  <c r="V27" i="2"/>
  <c r="U27" i="2"/>
  <c r="T27" i="2"/>
  <c r="R27" i="2"/>
  <c r="Q27" i="2"/>
  <c r="P27" i="2"/>
  <c r="O27" i="2"/>
  <c r="N27" i="2"/>
  <c r="M27" i="2"/>
  <c r="W26" i="2"/>
  <c r="V26" i="2"/>
  <c r="U26" i="2"/>
  <c r="T26" i="2"/>
  <c r="R26" i="2"/>
  <c r="Q26" i="2"/>
  <c r="P26" i="2"/>
  <c r="O26" i="2"/>
  <c r="N26" i="2"/>
  <c r="M26" i="2"/>
  <c r="W25" i="2"/>
  <c r="V25" i="2"/>
  <c r="U25" i="2"/>
  <c r="T25" i="2"/>
  <c r="R25" i="2"/>
  <c r="Q25" i="2"/>
  <c r="P25" i="2"/>
  <c r="O25" i="2"/>
  <c r="N25" i="2"/>
  <c r="M25" i="2"/>
  <c r="W24" i="2"/>
  <c r="V24" i="2"/>
  <c r="U24" i="2"/>
  <c r="T24" i="2"/>
  <c r="R24" i="2"/>
  <c r="Q24" i="2"/>
  <c r="P24" i="2"/>
  <c r="O24" i="2"/>
  <c r="N24" i="2"/>
  <c r="M24" i="2"/>
  <c r="W23" i="2"/>
  <c r="V23" i="2"/>
  <c r="U23" i="2"/>
  <c r="T23" i="2"/>
  <c r="R23" i="2"/>
  <c r="Q23" i="2"/>
  <c r="P23" i="2"/>
  <c r="O23" i="2"/>
  <c r="N23" i="2"/>
  <c r="M23" i="2"/>
  <c r="W22" i="2"/>
  <c r="V22" i="2"/>
  <c r="U22" i="2"/>
  <c r="T22" i="2"/>
  <c r="R22" i="2"/>
  <c r="Q22" i="2"/>
  <c r="P22" i="2"/>
  <c r="O22" i="2"/>
  <c r="N22" i="2"/>
  <c r="M22" i="2"/>
  <c r="W21" i="2"/>
  <c r="V21" i="2"/>
  <c r="U21" i="2"/>
  <c r="T21" i="2"/>
  <c r="R21" i="2"/>
  <c r="Q21" i="2"/>
  <c r="P21" i="2"/>
  <c r="O21" i="2"/>
  <c r="N21" i="2"/>
  <c r="M21" i="2"/>
  <c r="W20" i="2"/>
  <c r="V20" i="2"/>
  <c r="U20" i="2"/>
  <c r="T20" i="2"/>
  <c r="R20" i="2"/>
  <c r="Q20" i="2"/>
  <c r="P20" i="2"/>
  <c r="O20" i="2"/>
  <c r="N20" i="2"/>
  <c r="M20" i="2"/>
  <c r="W19" i="2"/>
  <c r="V19" i="2"/>
  <c r="U19" i="2"/>
  <c r="T19" i="2"/>
  <c r="R19" i="2"/>
  <c r="Q19" i="2"/>
  <c r="P19" i="2"/>
  <c r="O19" i="2"/>
  <c r="N19" i="2"/>
  <c r="M19" i="2"/>
  <c r="W18" i="2"/>
  <c r="V18" i="2"/>
  <c r="U18" i="2"/>
  <c r="T18" i="2"/>
  <c r="R18" i="2"/>
  <c r="Q18" i="2"/>
  <c r="P18" i="2"/>
  <c r="O18" i="2"/>
  <c r="N18" i="2"/>
  <c r="M18" i="2"/>
  <c r="W17" i="2"/>
  <c r="V17" i="2"/>
  <c r="U17" i="2"/>
  <c r="T17" i="2"/>
  <c r="R17" i="2"/>
  <c r="Q17" i="2"/>
  <c r="P17" i="2"/>
  <c r="O17" i="2"/>
  <c r="N17" i="2"/>
  <c r="M17" i="2"/>
  <c r="W16" i="2"/>
  <c r="V16" i="2"/>
  <c r="U16" i="2"/>
  <c r="T16" i="2"/>
  <c r="R16" i="2"/>
  <c r="Q16" i="2"/>
  <c r="P16" i="2"/>
  <c r="O16" i="2"/>
  <c r="N16" i="2"/>
  <c r="M16" i="2"/>
  <c r="W15" i="2"/>
  <c r="V15" i="2"/>
  <c r="U15" i="2"/>
  <c r="T15" i="2"/>
  <c r="R15" i="2"/>
  <c r="Q15" i="2"/>
  <c r="P15" i="2"/>
  <c r="O15" i="2"/>
  <c r="N15" i="2"/>
  <c r="M15" i="2"/>
  <c r="W14" i="2"/>
  <c r="V14" i="2"/>
  <c r="U14" i="2"/>
  <c r="T14" i="2"/>
  <c r="R14" i="2"/>
  <c r="Q14" i="2"/>
  <c r="P14" i="2"/>
  <c r="O14" i="2"/>
  <c r="N14" i="2"/>
  <c r="M14" i="2"/>
  <c r="W12" i="2"/>
  <c r="V12" i="2"/>
  <c r="U12" i="2"/>
  <c r="T12" i="2"/>
  <c r="Q12" i="2"/>
  <c r="P12" i="2"/>
  <c r="O12" i="2"/>
  <c r="N12" i="2"/>
  <c r="M12" i="2"/>
  <c r="W11" i="2"/>
  <c r="V11" i="2"/>
  <c r="U11" i="2"/>
  <c r="T11" i="2"/>
  <c r="Q11" i="2"/>
  <c r="P11" i="2"/>
  <c r="O11" i="2"/>
  <c r="N11" i="2"/>
  <c r="M11" i="2"/>
  <c r="W10" i="2"/>
  <c r="V10" i="2"/>
  <c r="U10" i="2"/>
  <c r="T10" i="2"/>
  <c r="Q10" i="2"/>
  <c r="P10" i="2"/>
  <c r="O10" i="2"/>
  <c r="N10" i="2"/>
  <c r="M10" i="2"/>
  <c r="W9" i="2"/>
  <c r="V9" i="2"/>
  <c r="U9" i="2"/>
  <c r="T9" i="2"/>
  <c r="Q9" i="2"/>
  <c r="P9" i="2"/>
  <c r="O9" i="2"/>
  <c r="N9" i="2"/>
  <c r="M9" i="2"/>
  <c r="W8" i="2"/>
  <c r="V8" i="2"/>
  <c r="U8" i="2"/>
  <c r="T8" i="2"/>
  <c r="Q8" i="2"/>
  <c r="P8" i="2"/>
  <c r="O8" i="2"/>
  <c r="N8" i="2"/>
  <c r="M8" i="2"/>
  <c r="W7" i="2"/>
  <c r="V7" i="2"/>
  <c r="U7" i="2"/>
  <c r="T7" i="2"/>
  <c r="Q7" i="2"/>
  <c r="P7" i="2"/>
  <c r="O7" i="2"/>
  <c r="N7" i="2"/>
  <c r="M7" i="2"/>
  <c r="W6" i="2"/>
  <c r="V6" i="2"/>
  <c r="U6" i="2"/>
  <c r="T6" i="2"/>
  <c r="Q6" i="2"/>
  <c r="P6" i="2"/>
  <c r="O6" i="2"/>
  <c r="N6" i="2"/>
  <c r="M6" i="2"/>
  <c r="W5" i="2"/>
  <c r="V5" i="2"/>
  <c r="U5" i="2"/>
  <c r="T5" i="2"/>
  <c r="Q5" i="2"/>
  <c r="P5" i="2"/>
  <c r="O5" i="2"/>
  <c r="N5" i="2"/>
  <c r="M5" i="2"/>
  <c r="W4" i="2"/>
  <c r="V4" i="2"/>
  <c r="U4" i="2"/>
  <c r="T4" i="2"/>
  <c r="Q4" i="2"/>
  <c r="P4" i="2"/>
  <c r="O4" i="2"/>
  <c r="N4" i="2"/>
  <c r="M4" i="2"/>
  <c r="W3" i="2"/>
  <c r="V3" i="2"/>
  <c r="U3" i="2"/>
  <c r="T3" i="2"/>
  <c r="Q3" i="2"/>
  <c r="P3" i="2"/>
  <c r="O3" i="2"/>
  <c r="N3" i="2"/>
  <c r="M3" i="2"/>
  <c r="AB2" i="2"/>
  <c r="W2" i="2"/>
  <c r="V2" i="2"/>
  <c r="U2" i="2"/>
  <c r="T2" i="2"/>
  <c r="Q2" i="2"/>
  <c r="P2" i="2"/>
  <c r="O2" i="2"/>
  <c r="N2" i="2"/>
  <c r="M2" i="2"/>
  <c r="L107" i="2" l="1"/>
  <c r="L192" i="2"/>
  <c r="L194" i="2"/>
  <c r="L222" i="2"/>
  <c r="L227" i="2"/>
  <c r="L268" i="2"/>
  <c r="L300" i="2"/>
  <c r="L303" i="2"/>
  <c r="L335" i="2"/>
  <c r="L337" i="2"/>
  <c r="L355" i="2"/>
  <c r="L367" i="2"/>
  <c r="L369" i="2"/>
  <c r="L131" i="2"/>
  <c r="L240" i="2"/>
  <c r="L272" i="2"/>
  <c r="L286" i="2"/>
  <c r="L318" i="2"/>
  <c r="L348" i="2"/>
  <c r="L106" i="2"/>
  <c r="L208" i="2"/>
  <c r="L381" i="2"/>
  <c r="L387" i="2"/>
  <c r="L104" i="2"/>
  <c r="L350" i="2"/>
  <c r="L128" i="2"/>
  <c r="L352" i="2"/>
  <c r="L384" i="2"/>
  <c r="L13" i="2"/>
  <c r="L124" i="2"/>
  <c r="L158" i="2"/>
  <c r="L62" i="2"/>
  <c r="L189" i="2"/>
  <c r="L100" i="2"/>
  <c r="L82" i="2"/>
  <c r="L382" i="2"/>
  <c r="L91" i="2"/>
  <c r="L111" i="2"/>
  <c r="L140" i="2"/>
  <c r="L175" i="2"/>
  <c r="L223" i="2"/>
  <c r="L322" i="2"/>
  <c r="L336" i="2"/>
  <c r="L364" i="2"/>
  <c r="L225" i="2"/>
  <c r="L84" i="2"/>
  <c r="L112" i="2"/>
  <c r="L93" i="2"/>
  <c r="L145" i="2"/>
  <c r="L163" i="2"/>
  <c r="L191" i="2"/>
  <c r="L207" i="2"/>
  <c r="L221" i="2"/>
  <c r="L239" i="2"/>
  <c r="L255" i="2"/>
  <c r="L271" i="2"/>
  <c r="L301" i="2"/>
  <c r="L354" i="2"/>
  <c r="L380" i="2"/>
  <c r="L256" i="2"/>
  <c r="L108" i="2"/>
  <c r="L174" i="2"/>
  <c r="L319" i="2"/>
  <c r="L365" i="2"/>
  <c r="L130" i="2"/>
  <c r="L304" i="2"/>
  <c r="L291" i="2"/>
  <c r="L87" i="2"/>
  <c r="L103" i="2"/>
  <c r="L114" i="2"/>
  <c r="L125" i="2"/>
  <c r="L159" i="2"/>
  <c r="L193" i="2"/>
  <c r="L224" i="2"/>
  <c r="L258" i="2"/>
  <c r="L290" i="2"/>
  <c r="L334" i="2"/>
  <c r="L368" i="2"/>
  <c r="L209" i="2"/>
  <c r="L92" i="2"/>
  <c r="L241" i="2"/>
  <c r="L287" i="2"/>
  <c r="L32" i="2"/>
  <c r="L89" i="2"/>
  <c r="L105" i="2"/>
  <c r="L113" i="2"/>
  <c r="L144" i="2"/>
  <c r="L204" i="2"/>
  <c r="L220" i="2"/>
  <c r="L289" i="2"/>
  <c r="L305" i="2"/>
  <c r="L351" i="2"/>
  <c r="L259" i="2"/>
  <c r="L161" i="2"/>
  <c r="L237" i="2"/>
  <c r="L323" i="2"/>
  <c r="L94" i="2"/>
  <c r="L79" i="2"/>
  <c r="L90" i="2"/>
  <c r="L109" i="2"/>
  <c r="L156" i="2"/>
  <c r="L188" i="2"/>
  <c r="L226" i="2"/>
  <c r="L269" i="2"/>
  <c r="L285" i="2"/>
  <c r="L333" i="2"/>
  <c r="L141" i="2"/>
  <c r="L142" i="2"/>
  <c r="L195" i="2"/>
  <c r="L257" i="2"/>
  <c r="L29" i="2"/>
  <c r="L45" i="2"/>
  <c r="L129" i="2"/>
  <c r="L160" i="2"/>
  <c r="L176" i="2"/>
  <c r="L236" i="2"/>
  <c r="L252" i="2"/>
  <c r="L321" i="2"/>
  <c r="L383" i="2"/>
  <c r="L205" i="2"/>
  <c r="L88" i="2"/>
  <c r="L143" i="2"/>
  <c r="L157" i="2"/>
  <c r="L177" i="2"/>
  <c r="L190" i="2"/>
  <c r="L253" i="2"/>
  <c r="L302" i="2"/>
  <c r="L317" i="2"/>
  <c r="L366" i="2"/>
  <c r="L172" i="2"/>
  <c r="L273" i="2"/>
  <c r="L349" i="2"/>
  <c r="L147" i="2"/>
  <c r="L86" i="2"/>
  <c r="L102" i="2"/>
  <c r="L110" i="2"/>
  <c r="L206" i="2"/>
  <c r="L353" i="2"/>
  <c r="L173" i="2"/>
  <c r="L97" i="2"/>
  <c r="L85" i="2"/>
  <c r="L101" i="2"/>
  <c r="L115" i="2"/>
  <c r="L288" i="2"/>
  <c r="L320" i="2"/>
  <c r="L332" i="2"/>
  <c r="L386" i="2"/>
  <c r="L127" i="2"/>
  <c r="L28" i="2"/>
  <c r="L73" i="2"/>
  <c r="L126" i="2"/>
  <c r="L162" i="2"/>
  <c r="L238" i="2"/>
  <c r="L254" i="2"/>
  <c r="L270" i="2"/>
  <c r="L284" i="2"/>
  <c r="L316" i="2"/>
  <c r="L385" i="2"/>
  <c r="L243" i="2"/>
  <c r="L139" i="2"/>
  <c r="L338" i="2"/>
  <c r="L178" i="2"/>
  <c r="L154" i="2"/>
  <c r="L219" i="2"/>
  <c r="L137" i="2"/>
  <c r="L250" i="2"/>
  <c r="L202" i="2"/>
  <c r="L77" i="2"/>
  <c r="L379" i="2"/>
  <c r="L363" i="2"/>
  <c r="L347" i="2"/>
  <c r="L331" i="2"/>
  <c r="L315" i="2"/>
  <c r="L299" i="2"/>
  <c r="L283" i="2"/>
  <c r="L135" i="2"/>
  <c r="L119" i="2"/>
  <c r="L339" i="2"/>
  <c r="L179" i="2"/>
  <c r="L123" i="2"/>
  <c r="L306" i="2"/>
  <c r="L210" i="2"/>
  <c r="L203" i="2"/>
  <c r="L218" i="2"/>
  <c r="L394" i="2"/>
  <c r="L378" i="2"/>
  <c r="L362" i="2"/>
  <c r="L346" i="2"/>
  <c r="L330" i="2"/>
  <c r="L314" i="2"/>
  <c r="L298" i="2"/>
  <c r="L282" i="2"/>
  <c r="L134" i="2"/>
  <c r="L118" i="2"/>
  <c r="L96" i="2"/>
  <c r="L275" i="2"/>
  <c r="L171" i="2"/>
  <c r="L274" i="2"/>
  <c r="L138" i="2"/>
  <c r="L235" i="2"/>
  <c r="L234" i="2"/>
  <c r="L120" i="2"/>
  <c r="L38" i="2"/>
  <c r="L133" i="2"/>
  <c r="L117" i="2"/>
  <c r="L95" i="2"/>
  <c r="L371" i="2"/>
  <c r="L307" i="2"/>
  <c r="L242" i="2"/>
  <c r="L170" i="2"/>
  <c r="L267" i="2"/>
  <c r="L266" i="2"/>
  <c r="L136" i="2"/>
  <c r="L58" i="2"/>
  <c r="L132" i="2"/>
  <c r="L116" i="2"/>
  <c r="L99" i="2"/>
  <c r="L211" i="2"/>
  <c r="L155" i="2"/>
  <c r="L370" i="2"/>
  <c r="L146" i="2"/>
  <c r="L122" i="2"/>
  <c r="L251" i="2"/>
  <c r="L187" i="2"/>
  <c r="L121" i="2"/>
  <c r="L186" i="2"/>
  <c r="L35" i="2"/>
  <c r="L55" i="2"/>
  <c r="L76" i="2"/>
  <c r="L98" i="2"/>
  <c r="L345" i="2"/>
  <c r="L265" i="2"/>
  <c r="L201" i="2"/>
  <c r="L376" i="2"/>
  <c r="L328" i="2"/>
  <c r="L280" i="2"/>
  <c r="L216" i="2"/>
  <c r="L168" i="2"/>
  <c r="L391" i="2"/>
  <c r="L375" i="2"/>
  <c r="L359" i="2"/>
  <c r="L343" i="2"/>
  <c r="L327" i="2"/>
  <c r="L311" i="2"/>
  <c r="L295" i="2"/>
  <c r="L279" i="2"/>
  <c r="L263" i="2"/>
  <c r="L247" i="2"/>
  <c r="L231" i="2"/>
  <c r="L215" i="2"/>
  <c r="L199" i="2"/>
  <c r="L183" i="2"/>
  <c r="L167" i="2"/>
  <c r="L151" i="2"/>
  <c r="L393" i="2"/>
  <c r="L329" i="2"/>
  <c r="L249" i="2"/>
  <c r="L169" i="2"/>
  <c r="L392" i="2"/>
  <c r="L296" i="2"/>
  <c r="L264" i="2"/>
  <c r="L200" i="2"/>
  <c r="L184" i="2"/>
  <c r="L390" i="2"/>
  <c r="L374" i="2"/>
  <c r="L358" i="2"/>
  <c r="L342" i="2"/>
  <c r="L326" i="2"/>
  <c r="L310" i="2"/>
  <c r="L294" i="2"/>
  <c r="L278" i="2"/>
  <c r="L262" i="2"/>
  <c r="L246" i="2"/>
  <c r="L230" i="2"/>
  <c r="L214" i="2"/>
  <c r="L198" i="2"/>
  <c r="L182" i="2"/>
  <c r="L166" i="2"/>
  <c r="L150" i="2"/>
  <c r="L313" i="2"/>
  <c r="L233" i="2"/>
  <c r="L153" i="2"/>
  <c r="L360" i="2"/>
  <c r="L152" i="2"/>
  <c r="L389" i="2"/>
  <c r="L373" i="2"/>
  <c r="L357" i="2"/>
  <c r="L341" i="2"/>
  <c r="L325" i="2"/>
  <c r="L309" i="2"/>
  <c r="L293" i="2"/>
  <c r="L277" i="2"/>
  <c r="L261" i="2"/>
  <c r="L245" i="2"/>
  <c r="L229" i="2"/>
  <c r="L213" i="2"/>
  <c r="L197" i="2"/>
  <c r="L181" i="2"/>
  <c r="L165" i="2"/>
  <c r="L149" i="2"/>
  <c r="L377" i="2"/>
  <c r="L281" i="2"/>
  <c r="L217" i="2"/>
  <c r="L312" i="2"/>
  <c r="L232" i="2"/>
  <c r="L388" i="2"/>
  <c r="L372" i="2"/>
  <c r="L356" i="2"/>
  <c r="L340" i="2"/>
  <c r="L324" i="2"/>
  <c r="L308" i="2"/>
  <c r="L292" i="2"/>
  <c r="L276" i="2"/>
  <c r="L260" i="2"/>
  <c r="L244" i="2"/>
  <c r="L228" i="2"/>
  <c r="L212" i="2"/>
  <c r="L196" i="2"/>
  <c r="L180" i="2"/>
  <c r="L164" i="2"/>
  <c r="L148" i="2"/>
  <c r="L361" i="2"/>
  <c r="L297" i="2"/>
  <c r="L185" i="2"/>
  <c r="L344" i="2"/>
  <c r="L248" i="2"/>
  <c r="L19" i="2"/>
  <c r="L23" i="2"/>
  <c r="L27" i="2"/>
  <c r="L49" i="2"/>
  <c r="L66" i="2"/>
  <c r="L78" i="2"/>
  <c r="L75" i="2"/>
  <c r="L48" i="2"/>
  <c r="L26" i="2"/>
  <c r="L16" i="2"/>
  <c r="L24" i="2"/>
  <c r="L72" i="2"/>
  <c r="L53" i="2"/>
  <c r="L42" i="2"/>
  <c r="L39" i="2"/>
  <c r="L52" i="2"/>
  <c r="L22" i="2"/>
  <c r="L54" i="2"/>
  <c r="L69" i="2"/>
  <c r="L51" i="2"/>
  <c r="L83" i="2"/>
  <c r="L6" i="2"/>
  <c r="L81" i="2"/>
  <c r="L30" i="2"/>
  <c r="L43" i="2"/>
  <c r="L47" i="2"/>
  <c r="L67" i="2"/>
  <c r="L71" i="2"/>
  <c r="L20" i="2"/>
  <c r="L40" i="2"/>
  <c r="L46" i="2"/>
  <c r="L70" i="2"/>
  <c r="L57" i="2"/>
  <c r="L11" i="2"/>
  <c r="L50" i="2"/>
  <c r="L74" i="2"/>
  <c r="L17" i="2"/>
  <c r="L18" i="2"/>
  <c r="L44" i="2"/>
  <c r="L64" i="2"/>
  <c r="L68" i="2"/>
  <c r="L21" i="2"/>
  <c r="L15" i="2"/>
  <c r="L41" i="2"/>
  <c r="L65" i="2"/>
  <c r="L9" i="2"/>
  <c r="L37" i="2"/>
  <c r="L14" i="2"/>
  <c r="L60" i="2"/>
  <c r="L63" i="2"/>
  <c r="L25" i="2"/>
  <c r="L31" i="2"/>
  <c r="L36" i="2"/>
  <c r="L56" i="2"/>
  <c r="L61" i="2"/>
  <c r="L33" i="2"/>
  <c r="L34" i="2"/>
  <c r="L59" i="2"/>
  <c r="L80" i="2"/>
  <c r="L3" i="2"/>
  <c r="L8" i="2"/>
  <c r="L4" i="2"/>
  <c r="L7" i="2"/>
  <c r="L5" i="2"/>
  <c r="L2" i="2"/>
  <c r="L12" i="2"/>
  <c r="L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Rapp</author>
  </authors>
  <commentList>
    <comment ref="K1" authorId="0" shapeId="0" xr:uid="{FA3811D6-7AB2-4ABF-A901-CBE17702EA2C}">
      <text>
        <r>
          <rPr>
            <b/>
            <sz val="9"/>
            <color indexed="81"/>
            <rFont val="Tahoma"/>
            <charset val="1"/>
          </rPr>
          <t>Delphine Rapp:</t>
        </r>
        <r>
          <rPr>
            <sz val="9"/>
            <color indexed="81"/>
            <rFont val="Tahoma"/>
            <charset val="1"/>
          </rPr>
          <t xml:space="preserve">
"primary defects" from processors, "defects" from farm data</t>
        </r>
      </text>
    </comment>
    <comment ref="AD1" authorId="0" shapeId="0" xr:uid="{D586C307-D211-46DD-BA18-D2D76C5D473A}">
      <text>
        <r>
          <rPr>
            <b/>
            <sz val="9"/>
            <color indexed="81"/>
            <rFont val="Tahoma"/>
            <charset val="1"/>
          </rPr>
          <t>Delphine Rapp:</t>
        </r>
        <r>
          <rPr>
            <sz val="9"/>
            <color indexed="81"/>
            <rFont val="Tahoma"/>
            <charset val="1"/>
          </rPr>
          <t xml:space="preserve">
from Farm data</t>
        </r>
      </text>
    </comment>
    <comment ref="AI1" authorId="0" shapeId="0" xr:uid="{26BA00A0-FB13-43B0-B6EF-FD73B0648635}">
      <text>
        <r>
          <rPr>
            <b/>
            <sz val="9"/>
            <color indexed="81"/>
            <rFont val="Tahoma"/>
            <charset val="1"/>
          </rPr>
          <t>Delphine Rapp:</t>
        </r>
        <r>
          <rPr>
            <sz val="9"/>
            <color indexed="81"/>
            <rFont val="Tahoma"/>
            <charset val="1"/>
          </rPr>
          <t xml:space="preserve">
NZDI, Total rain, THI, HLI and HLI2: in the 24h before processing</t>
        </r>
      </text>
    </comment>
    <comment ref="AN1" authorId="0" shapeId="0" xr:uid="{251AB0FE-9C6C-488D-9238-B9E1588FB474}">
      <text>
        <r>
          <rPr>
            <b/>
            <sz val="9"/>
            <color indexed="81"/>
            <rFont val="Tahoma"/>
            <charset val="1"/>
          </rPr>
          <t>Delphine Rapp:</t>
        </r>
        <r>
          <rPr>
            <sz val="9"/>
            <color indexed="81"/>
            <rFont val="Tahoma"/>
            <charset val="1"/>
          </rPr>
          <t xml:space="preserve">
in the week prior to processing</t>
        </r>
      </text>
    </comment>
    <comment ref="AB14" authorId="0" shapeId="0" xr:uid="{380F813C-2E4D-4109-B051-0F6EF6C55732}">
      <text>
        <r>
          <rPr>
            <b/>
            <sz val="9"/>
            <color indexed="81"/>
            <rFont val="Tahoma"/>
            <charset val="1"/>
          </rPr>
          <t>Delphine Rapp:</t>
        </r>
        <r>
          <rPr>
            <sz val="9"/>
            <color indexed="81"/>
            <rFont val="Tahoma"/>
            <charset val="1"/>
          </rPr>
          <t xml:space="preserve">
unload time within 8 min, but kill time varied by 30 min; as a result, lairage time range: 12,75 to 13.25
</t>
        </r>
      </text>
    </comment>
    <comment ref="A57" authorId="0" shapeId="0" xr:uid="{E5B81025-2D0E-43B1-A2F1-A3229A12C80F}">
      <text>
        <r>
          <rPr>
            <b/>
            <sz val="9"/>
            <color indexed="81"/>
            <rFont val="Tahoma"/>
            <charset val="1"/>
          </rPr>
          <t>Delphine Rapp:</t>
        </r>
        <r>
          <rPr>
            <sz val="9"/>
            <color indexed="81"/>
            <rFont val="Tahoma"/>
            <charset val="1"/>
          </rPr>
          <t xml:space="preserve">
teeth anand defects from farm records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8A68E-4076-435D-AAAE-C9FBBE1711AA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<sst xmlns="http://schemas.openxmlformats.org/spreadsheetml/2006/main" count="4607" uniqueCount="1073">
  <si>
    <t>Body</t>
  </si>
  <si>
    <t>Type</t>
  </si>
  <si>
    <t>Grade S1</t>
  </si>
  <si>
    <t>Teeth</t>
  </si>
  <si>
    <t>Live Wt.</t>
  </si>
  <si>
    <t>Yield</t>
  </si>
  <si>
    <t>Primary Defect</t>
  </si>
  <si>
    <t>EID</t>
  </si>
  <si>
    <t>Kill Time</t>
  </si>
  <si>
    <t>Graded Time</t>
  </si>
  <si>
    <t>Unload Time</t>
  </si>
  <si>
    <t>40172432 A</t>
  </si>
  <si>
    <t>Steer</t>
  </si>
  <si>
    <t>134</t>
  </si>
  <si>
    <t>P2</t>
  </si>
  <si>
    <t>8181-17-103</t>
  </si>
  <si>
    <t>09:23</t>
  </si>
  <si>
    <t>01/04 15:32</t>
  </si>
  <si>
    <t>135</t>
  </si>
  <si>
    <t>8181-17-86</t>
  </si>
  <si>
    <t>09:24</t>
  </si>
  <si>
    <t>01/04 15:34</t>
  </si>
  <si>
    <t>136</t>
  </si>
  <si>
    <t>8181-17-106</t>
  </si>
  <si>
    <t>09:25</t>
  </si>
  <si>
    <t>137</t>
  </si>
  <si>
    <t>8181-17-64</t>
  </si>
  <si>
    <t>09:26</t>
  </si>
  <si>
    <t>01/04 15:33</t>
  </si>
  <si>
    <t>138</t>
  </si>
  <si>
    <t>8181-17-139</t>
  </si>
  <si>
    <t>09:27</t>
  </si>
  <si>
    <t>139</t>
  </si>
  <si>
    <t>8181-17-132</t>
  </si>
  <si>
    <t>09:28</t>
  </si>
  <si>
    <t>140</t>
  </si>
  <si>
    <t>8181-17-93</t>
  </si>
  <si>
    <t>09:32</t>
  </si>
  <si>
    <t>141</t>
  </si>
  <si>
    <t>8181-17-63</t>
  </si>
  <si>
    <t>142</t>
  </si>
  <si>
    <t>Pleurisy</t>
  </si>
  <si>
    <t>8181-17-105</t>
  </si>
  <si>
    <t>09:34</t>
  </si>
  <si>
    <t>143</t>
  </si>
  <si>
    <t>8181-17-78</t>
  </si>
  <si>
    <t>09:35</t>
  </si>
  <si>
    <t>144</t>
  </si>
  <si>
    <t>8181-17-87</t>
  </si>
  <si>
    <t>09:36</t>
  </si>
  <si>
    <t>145</t>
  </si>
  <si>
    <t>8181-17-83</t>
  </si>
  <si>
    <t>09:37</t>
  </si>
  <si>
    <t>40339099 A</t>
  </si>
  <si>
    <t>294</t>
  </si>
  <si>
    <t>12565146-18-29</t>
  </si>
  <si>
    <t>12:24</t>
  </si>
  <si>
    <t>13:15</t>
  </si>
  <si>
    <t>13/12 13:44</t>
  </si>
  <si>
    <t>295</t>
  </si>
  <si>
    <t>12565146-18-5</t>
  </si>
  <si>
    <t>12:26</t>
  </si>
  <si>
    <t>296</t>
  </si>
  <si>
    <t>12565146-18-38</t>
  </si>
  <si>
    <t>12:29</t>
  </si>
  <si>
    <t>13:16</t>
  </si>
  <si>
    <t>13/12 13:41</t>
  </si>
  <si>
    <t>297</t>
  </si>
  <si>
    <t>12565146-18-85</t>
  </si>
  <si>
    <t>12:30</t>
  </si>
  <si>
    <t>13:17</t>
  </si>
  <si>
    <t>13/12 13:40</t>
  </si>
  <si>
    <t>298</t>
  </si>
  <si>
    <t>12565146-18-73</t>
  </si>
  <si>
    <t>12:31</t>
  </si>
  <si>
    <t>13:18</t>
  </si>
  <si>
    <t>13/12 13:38</t>
  </si>
  <si>
    <t>299</t>
  </si>
  <si>
    <t>12565146-18-87</t>
  </si>
  <si>
    <t>13:19</t>
  </si>
  <si>
    <t>13/12 13:42</t>
  </si>
  <si>
    <t>300</t>
  </si>
  <si>
    <t>12565146-18-76</t>
  </si>
  <si>
    <t>12:33</t>
  </si>
  <si>
    <t>13:21</t>
  </si>
  <si>
    <t>301</t>
  </si>
  <si>
    <t>Bruised</t>
  </si>
  <si>
    <t>12565146-18-27</t>
  </si>
  <si>
    <t>12:34</t>
  </si>
  <si>
    <t>13:29</t>
  </si>
  <si>
    <t>302</t>
  </si>
  <si>
    <t>12565146-18-43</t>
  </si>
  <si>
    <t>12:35</t>
  </si>
  <si>
    <t>13:23</t>
  </si>
  <si>
    <t>303</t>
  </si>
  <si>
    <t>12565146-18-36</t>
  </si>
  <si>
    <t>12:36</t>
  </si>
  <si>
    <t>13:24</t>
  </si>
  <si>
    <t>304</t>
  </si>
  <si>
    <t>12565146-18-89</t>
  </si>
  <si>
    <t>12:37</t>
  </si>
  <si>
    <t>13:25</t>
  </si>
  <si>
    <t>305</t>
  </si>
  <si>
    <t>12565146-18-49</t>
  </si>
  <si>
    <t>12:38</t>
  </si>
  <si>
    <t>13:26</t>
  </si>
  <si>
    <t>13/12 13:46</t>
  </si>
  <si>
    <t>306</t>
  </si>
  <si>
    <t>12565146-18-23</t>
  </si>
  <si>
    <t>12:40</t>
  </si>
  <si>
    <t>13/12 13:43</t>
  </si>
  <si>
    <t>307</t>
  </si>
  <si>
    <t>12565146-18-41</t>
  </si>
  <si>
    <t>13:27</t>
  </si>
  <si>
    <t>13/12 13:39</t>
  </si>
  <si>
    <t>308</t>
  </si>
  <si>
    <t>Contamination - Ingesta</t>
  </si>
  <si>
    <t>12565146-18-25</t>
  </si>
  <si>
    <t>12:41</t>
  </si>
  <si>
    <t>13:36</t>
  </si>
  <si>
    <t>309</t>
  </si>
  <si>
    <t>12565146-18-8</t>
  </si>
  <si>
    <t>12:42</t>
  </si>
  <si>
    <t>13:39</t>
  </si>
  <si>
    <t>310</t>
  </si>
  <si>
    <t>12565146-18-70</t>
  </si>
  <si>
    <t>12:43</t>
  </si>
  <si>
    <t>13:31</t>
  </si>
  <si>
    <t>311</t>
  </si>
  <si>
    <t>12565146-18-15</t>
  </si>
  <si>
    <t>12:44</t>
  </si>
  <si>
    <t>312</t>
  </si>
  <si>
    <t>12565146-18-77</t>
  </si>
  <si>
    <t>12:45</t>
  </si>
  <si>
    <t>13:33</t>
  </si>
  <si>
    <t>313</t>
  </si>
  <si>
    <t>12565146-18-75</t>
  </si>
  <si>
    <t>12:46</t>
  </si>
  <si>
    <t>13:34</t>
  </si>
  <si>
    <t>314</t>
  </si>
  <si>
    <t>12565146-18-84</t>
  </si>
  <si>
    <t>12:47</t>
  </si>
  <si>
    <t>315</t>
  </si>
  <si>
    <t>12565146-18-66</t>
  </si>
  <si>
    <t>12:48</t>
  </si>
  <si>
    <t>13:37</t>
  </si>
  <si>
    <t>316</t>
  </si>
  <si>
    <t>12565146-18-4</t>
  </si>
  <si>
    <t>12:49</t>
  </si>
  <si>
    <t>317</t>
  </si>
  <si>
    <t>12565146-18-51</t>
  </si>
  <si>
    <t>12:50</t>
  </si>
  <si>
    <t>13:38</t>
  </si>
  <si>
    <t>318</t>
  </si>
  <si>
    <t>12565146-18-20</t>
  </si>
  <si>
    <t>12:51</t>
  </si>
  <si>
    <t>319</t>
  </si>
  <si>
    <t>12565146-18-26</t>
  </si>
  <si>
    <t>12:52</t>
  </si>
  <si>
    <t>13:40</t>
  </si>
  <si>
    <t>320</t>
  </si>
  <si>
    <t>12565146-18-81</t>
  </si>
  <si>
    <t>12:53</t>
  </si>
  <si>
    <t>13:41</t>
  </si>
  <si>
    <t>321</t>
  </si>
  <si>
    <t>12565146-18-7</t>
  </si>
  <si>
    <t>12:54</t>
  </si>
  <si>
    <t>13:42</t>
  </si>
  <si>
    <t>322</t>
  </si>
  <si>
    <t>12565146-18-55</t>
  </si>
  <si>
    <t>12:55</t>
  </si>
  <si>
    <t>13:43</t>
  </si>
  <si>
    <t>323</t>
  </si>
  <si>
    <t>12565146-18-39</t>
  </si>
  <si>
    <t>12:56</t>
  </si>
  <si>
    <t>324</t>
  </si>
  <si>
    <t>982-123553011631-8181</t>
  </si>
  <si>
    <t>12:57</t>
  </si>
  <si>
    <t>13:44</t>
  </si>
  <si>
    <t>325</t>
  </si>
  <si>
    <t>Other</t>
  </si>
  <si>
    <t>12565146-18-47</t>
  </si>
  <si>
    <t>12:58</t>
  </si>
  <si>
    <t>13:55</t>
  </si>
  <si>
    <t>326</t>
  </si>
  <si>
    <t>12565146-18-82</t>
  </si>
  <si>
    <t>12:59</t>
  </si>
  <si>
    <t>13:48</t>
  </si>
  <si>
    <t>327</t>
  </si>
  <si>
    <t>12565146-18-33</t>
  </si>
  <si>
    <t>13:00</t>
  </si>
  <si>
    <t>13:49</t>
  </si>
  <si>
    <t>40370990 A</t>
  </si>
  <si>
    <t>216</t>
  </si>
  <si>
    <t>982-123718482864-CDBH</t>
  </si>
  <si>
    <t>10:06</t>
  </si>
  <si>
    <t>11:18</t>
  </si>
  <si>
    <t>10/03 17:39</t>
  </si>
  <si>
    <t>217</t>
  </si>
  <si>
    <t>982-123718482860-CDBH</t>
  </si>
  <si>
    <t>10:07</t>
  </si>
  <si>
    <t>10:48</t>
  </si>
  <si>
    <t>218</t>
  </si>
  <si>
    <t>982-123718482796-CDBH</t>
  </si>
  <si>
    <t>10:08</t>
  </si>
  <si>
    <t>10:51</t>
  </si>
  <si>
    <t>219</t>
  </si>
  <si>
    <t>12565146-18-53</t>
  </si>
  <si>
    <t>10:09</t>
  </si>
  <si>
    <t>220</t>
  </si>
  <si>
    <t>12565146-18-14</t>
  </si>
  <si>
    <t>10:10</t>
  </si>
  <si>
    <t>10/03 17:38</t>
  </si>
  <si>
    <t>221</t>
  </si>
  <si>
    <t>Peritonitis</t>
  </si>
  <si>
    <t>12565146-18-16</t>
  </si>
  <si>
    <t>10:11</t>
  </si>
  <si>
    <t>10:56</t>
  </si>
  <si>
    <t>10/03 17:37</t>
  </si>
  <si>
    <t>222</t>
  </si>
  <si>
    <t>12565146-18-18</t>
  </si>
  <si>
    <t>10:12</t>
  </si>
  <si>
    <t>10:58</t>
  </si>
  <si>
    <t>223</t>
  </si>
  <si>
    <t>12565146-18-3</t>
  </si>
  <si>
    <t>10:13</t>
  </si>
  <si>
    <t>224</t>
  </si>
  <si>
    <t>982-123718482865-CDBH</t>
  </si>
  <si>
    <t>10:14</t>
  </si>
  <si>
    <t>10:59</t>
  </si>
  <si>
    <t>40390384 A</t>
  </si>
  <si>
    <t>Heifer</t>
  </si>
  <si>
    <t>179</t>
  </si>
  <si>
    <t>12565146-18-35</t>
  </si>
  <si>
    <t>08:54</t>
  </si>
  <si>
    <t>09:51</t>
  </si>
  <si>
    <t>04/05 13:11</t>
  </si>
  <si>
    <t>180</t>
  </si>
  <si>
    <t>12565146-18-67</t>
  </si>
  <si>
    <t>08:55</t>
  </si>
  <si>
    <t>181</t>
  </si>
  <si>
    <t>12565146-19-75</t>
  </si>
  <si>
    <t>08:56</t>
  </si>
  <si>
    <t>04/05 13:07</t>
  </si>
  <si>
    <t>182</t>
  </si>
  <si>
    <t>12565146-19-89</t>
  </si>
  <si>
    <t>08:57</t>
  </si>
  <si>
    <t>09:53</t>
  </si>
  <si>
    <t>04/05 13:08</t>
  </si>
  <si>
    <t>183</t>
  </si>
  <si>
    <t>12565146-18-1</t>
  </si>
  <si>
    <t>08:58</t>
  </si>
  <si>
    <t>09:54</t>
  </si>
  <si>
    <t>184</t>
  </si>
  <si>
    <t>12565146-19-70</t>
  </si>
  <si>
    <t>08:59</t>
  </si>
  <si>
    <t>09:55</t>
  </si>
  <si>
    <t>185</t>
  </si>
  <si>
    <t>12565146-19-67</t>
  </si>
  <si>
    <t>09:00</t>
  </si>
  <si>
    <t>04/05 13:12</t>
  </si>
  <si>
    <t>40436985 A</t>
  </si>
  <si>
    <t>12565146-19-86</t>
  </si>
  <si>
    <t>11:21</t>
  </si>
  <si>
    <t>11:59</t>
  </si>
  <si>
    <t>08/08 12:25</t>
  </si>
  <si>
    <t>12565146-19-107</t>
  </si>
  <si>
    <t>12:06</t>
  </si>
  <si>
    <t>08/08 12:30</t>
  </si>
  <si>
    <t>12565146-18-32</t>
  </si>
  <si>
    <t>11:22</t>
  </si>
  <si>
    <t>12:00</t>
  </si>
  <si>
    <t>08/08 12:24</t>
  </si>
  <si>
    <t>12565146-19-82*</t>
  </si>
  <si>
    <t>11:23</t>
  </si>
  <si>
    <t>12:01</t>
  </si>
  <si>
    <t>12565146-19-15</t>
  </si>
  <si>
    <t>11:24</t>
  </si>
  <si>
    <t>12:14</t>
  </si>
  <si>
    <t>12565146-19-16</t>
  </si>
  <si>
    <t>11:25</t>
  </si>
  <si>
    <t>12:03</t>
  </si>
  <si>
    <t>12565146-19-39</t>
  </si>
  <si>
    <t>11:26</t>
  </si>
  <si>
    <t>12:04</t>
  </si>
  <si>
    <t>08/08 12:28</t>
  </si>
  <si>
    <t>12565146-19-87</t>
  </si>
  <si>
    <t>11:27</t>
  </si>
  <si>
    <t>12:05</t>
  </si>
  <si>
    <t>12565146-19-56</t>
  </si>
  <si>
    <t>11:28</t>
  </si>
  <si>
    <t>12565146-19-7</t>
  </si>
  <si>
    <t>11:29</t>
  </si>
  <si>
    <t>12:07</t>
  </si>
  <si>
    <t>12565146-19-63</t>
  </si>
  <si>
    <t>11:30</t>
  </si>
  <si>
    <t>12:08</t>
  </si>
  <si>
    <t>12565146-19-9</t>
  </si>
  <si>
    <t>11:31</t>
  </si>
  <si>
    <t>12:09</t>
  </si>
  <si>
    <t>12565146-19-64</t>
  </si>
  <si>
    <t>11:32</t>
  </si>
  <si>
    <t>12565146-19-2</t>
  </si>
  <si>
    <t>11:33</t>
  </si>
  <si>
    <t>12:10</t>
  </si>
  <si>
    <t>40533256 A</t>
  </si>
  <si>
    <t>12565146-19-53</t>
  </si>
  <si>
    <t>29/11 14:02</t>
  </si>
  <si>
    <t>12565146-19-46</t>
  </si>
  <si>
    <t>14:05</t>
  </si>
  <si>
    <t>29/11 13:57</t>
  </si>
  <si>
    <t>12565146-19-113</t>
  </si>
  <si>
    <t>12565146-19-73</t>
  </si>
  <si>
    <t>12565146-19-4</t>
  </si>
  <si>
    <t>29/11 14:05</t>
  </si>
  <si>
    <t>12565146-19-30</t>
  </si>
  <si>
    <t>29/11 14:04</t>
  </si>
  <si>
    <t>Contaminated</t>
  </si>
  <si>
    <t>12565146-19-24</t>
  </si>
  <si>
    <t>14:07</t>
  </si>
  <si>
    <t>29/11 14:01</t>
  </si>
  <si>
    <t>12565146-19-59</t>
  </si>
  <si>
    <t>29/11 13:58</t>
  </si>
  <si>
    <t>12565146-19-81</t>
  </si>
  <si>
    <t>13:45</t>
  </si>
  <si>
    <t>29/11 14:06</t>
  </si>
  <si>
    <t>328</t>
  </si>
  <si>
    <t>12565146-19-5</t>
  </si>
  <si>
    <t>13:46</t>
  </si>
  <si>
    <t>329</t>
  </si>
  <si>
    <t>12565146-19-68</t>
  </si>
  <si>
    <t>13:47</t>
  </si>
  <si>
    <t>29/11 14:03</t>
  </si>
  <si>
    <t>330</t>
  </si>
  <si>
    <t>12565146-19-49</t>
  </si>
  <si>
    <t>13:01</t>
  </si>
  <si>
    <t>13:51</t>
  </si>
  <si>
    <t>331</t>
  </si>
  <si>
    <t>12565146-19-28</t>
  </si>
  <si>
    <t>13:02</t>
  </si>
  <si>
    <t>332</t>
  </si>
  <si>
    <t>12565146-19-42</t>
  </si>
  <si>
    <t>13:52</t>
  </si>
  <si>
    <t>333</t>
  </si>
  <si>
    <t>12565146-19-116</t>
  </si>
  <si>
    <t>13:03</t>
  </si>
  <si>
    <t>334</t>
  </si>
  <si>
    <t>12565146-19-117</t>
  </si>
  <si>
    <t>13:04</t>
  </si>
  <si>
    <t>13:56</t>
  </si>
  <si>
    <t>335</t>
  </si>
  <si>
    <t>12565146-19-47</t>
  </si>
  <si>
    <t>13:05</t>
  </si>
  <si>
    <t>13:57</t>
  </si>
  <si>
    <t>29/11 13:59</t>
  </si>
  <si>
    <t>336</t>
  </si>
  <si>
    <t>12565146-19-79</t>
  </si>
  <si>
    <t>13:06</t>
  </si>
  <si>
    <t>14:17</t>
  </si>
  <si>
    <t>337</t>
  </si>
  <si>
    <t>12565146-19-61</t>
  </si>
  <si>
    <t>14:01</t>
  </si>
  <si>
    <t>338</t>
  </si>
  <si>
    <t>12565146-19-44</t>
  </si>
  <si>
    <t>13:08</t>
  </si>
  <si>
    <t>14:18</t>
  </si>
  <si>
    <t>339</t>
  </si>
  <si>
    <t>12565146-19-106</t>
  </si>
  <si>
    <t>340</t>
  </si>
  <si>
    <t>12565146-19-58</t>
  </si>
  <si>
    <t>13:09</t>
  </si>
  <si>
    <t>14:21</t>
  </si>
  <si>
    <t>341</t>
  </si>
  <si>
    <t>12565146-19-101</t>
  </si>
  <si>
    <t>13:10</t>
  </si>
  <si>
    <t>14:02</t>
  </si>
  <si>
    <t>342</t>
  </si>
  <si>
    <t>12565146-19-104</t>
  </si>
  <si>
    <t>13:12</t>
  </si>
  <si>
    <t>14:03</t>
  </si>
  <si>
    <t>343</t>
  </si>
  <si>
    <t>12565146-19-12</t>
  </si>
  <si>
    <t>13:13</t>
  </si>
  <si>
    <t>14:04</t>
  </si>
  <si>
    <t>344</t>
  </si>
  <si>
    <t>12565146-19-33</t>
  </si>
  <si>
    <t>13:14</t>
  </si>
  <si>
    <t>14:30</t>
  </si>
  <si>
    <t>345</t>
  </si>
  <si>
    <t>12565146-19-100</t>
  </si>
  <si>
    <t>14:34</t>
  </si>
  <si>
    <t>346</t>
  </si>
  <si>
    <t>12565146-19-88</t>
  </si>
  <si>
    <t>347</t>
  </si>
  <si>
    <t>12565146-19-115</t>
  </si>
  <si>
    <t>348</t>
  </si>
  <si>
    <t>12565146-19-22</t>
  </si>
  <si>
    <t>14:40</t>
  </si>
  <si>
    <t>349</t>
  </si>
  <si>
    <t>12565146-19-35</t>
  </si>
  <si>
    <t>14:09</t>
  </si>
  <si>
    <t>350</t>
  </si>
  <si>
    <t>12565146-19-29</t>
  </si>
  <si>
    <t>13:20</t>
  </si>
  <si>
    <t>14:10</t>
  </si>
  <si>
    <t>351</t>
  </si>
  <si>
    <t>12565146-19-11</t>
  </si>
  <si>
    <t>14:11</t>
  </si>
  <si>
    <t>352</t>
  </si>
  <si>
    <t>12565146-19-40</t>
  </si>
  <si>
    <t>13:22</t>
  </si>
  <si>
    <t>14:12</t>
  </si>
  <si>
    <t>353</t>
  </si>
  <si>
    <t>12565146-19-83</t>
  </si>
  <si>
    <t>354</t>
  </si>
  <si>
    <t>12565146-19-96</t>
  </si>
  <si>
    <t>14:13</t>
  </si>
  <si>
    <t>355</t>
  </si>
  <si>
    <t>12565146-19-50</t>
  </si>
  <si>
    <t>14:14</t>
  </si>
  <si>
    <t>356</t>
  </si>
  <si>
    <t>12565146-19-51</t>
  </si>
  <si>
    <t>14:15</t>
  </si>
  <si>
    <t>357</t>
  </si>
  <si>
    <t>12565146-19-105</t>
  </si>
  <si>
    <t>14:16</t>
  </si>
  <si>
    <t>358</t>
  </si>
  <si>
    <t>12565146-19-65</t>
  </si>
  <si>
    <t>13:28</t>
  </si>
  <si>
    <t>15:03</t>
  </si>
  <si>
    <t>40539604 A</t>
  </si>
  <si>
    <t>276</t>
  </si>
  <si>
    <t>982-123736249283-CDBH</t>
  </si>
  <si>
    <t>277</t>
  </si>
  <si>
    <t>12565146-19-27</t>
  </si>
  <si>
    <t>15/12 14:15</t>
  </si>
  <si>
    <t>278</t>
  </si>
  <si>
    <t>982-123728901738-CDBH</t>
  </si>
  <si>
    <t>15/12 14:16</t>
  </si>
  <si>
    <t>279</t>
  </si>
  <si>
    <t>12565146-19-71</t>
  </si>
  <si>
    <t>15/12 14:10</t>
  </si>
  <si>
    <t>280</t>
  </si>
  <si>
    <t>982-123545547861-CBYC</t>
  </si>
  <si>
    <t>12:11</t>
  </si>
  <si>
    <t>281</t>
  </si>
  <si>
    <t>12565146-19-98</t>
  </si>
  <si>
    <t>12:12</t>
  </si>
  <si>
    <t>15/12 14:12</t>
  </si>
  <si>
    <t>282</t>
  </si>
  <si>
    <t>982-123736249287-CDBH</t>
  </si>
  <si>
    <t>12:13</t>
  </si>
  <si>
    <t>15/12 14:13</t>
  </si>
  <si>
    <t>283</t>
  </si>
  <si>
    <t>12565146-19-108</t>
  </si>
  <si>
    <t>15/12 14:11</t>
  </si>
  <si>
    <t>284</t>
  </si>
  <si>
    <t>982-123736249279-CDBH</t>
  </si>
  <si>
    <t>285</t>
  </si>
  <si>
    <t>982-123728901695-CDBH</t>
  </si>
  <si>
    <t>12:15</t>
  </si>
  <si>
    <t>286</t>
  </si>
  <si>
    <t>12565146-19-41</t>
  </si>
  <si>
    <t>12:16</t>
  </si>
  <si>
    <t>287</t>
  </si>
  <si>
    <t>12565146-19-66</t>
  </si>
  <si>
    <t>12:17</t>
  </si>
  <si>
    <t>13:07</t>
  </si>
  <si>
    <t>288</t>
  </si>
  <si>
    <t>12565146-19-55</t>
  </si>
  <si>
    <t>12:18</t>
  </si>
  <si>
    <t>289</t>
  </si>
  <si>
    <t>982-123718482814-CDBH</t>
  </si>
  <si>
    <t>12:19</t>
  </si>
  <si>
    <t>290</t>
  </si>
  <si>
    <t>982-123736253234-CDBH</t>
  </si>
  <si>
    <t>12:20</t>
  </si>
  <si>
    <t>291</t>
  </si>
  <si>
    <t>12565146-19-77</t>
  </si>
  <si>
    <t>12:21</t>
  </si>
  <si>
    <t>292</t>
  </si>
  <si>
    <t>NO TAGS</t>
  </si>
  <si>
    <t>12:22</t>
  </si>
  <si>
    <t>293</t>
  </si>
  <si>
    <t>12:23</t>
  </si>
  <si>
    <t>12565146-19-78</t>
  </si>
  <si>
    <t>Pyogenic Lesions</t>
  </si>
  <si>
    <t>982-123718482849-CDBH</t>
  </si>
  <si>
    <t>12:25</t>
  </si>
  <si>
    <t>P1</t>
  </si>
  <si>
    <t>982-123736249300-CDBH</t>
  </si>
  <si>
    <t>982-123728901660-CDBH</t>
  </si>
  <si>
    <t>12:27</t>
  </si>
  <si>
    <t>982-123736070405-CBYC</t>
  </si>
  <si>
    <t>12:28</t>
  </si>
  <si>
    <t>12565146-19-114</t>
  </si>
  <si>
    <t>15/12 14:14</t>
  </si>
  <si>
    <t>982-123728901613-CDBH</t>
  </si>
  <si>
    <t>13:35</t>
  </si>
  <si>
    <t>982-123736249296-CDBH</t>
  </si>
  <si>
    <t>12565146-19-69</t>
  </si>
  <si>
    <t>12565146-19-26</t>
  </si>
  <si>
    <t>982-123728901647-CDBH</t>
  </si>
  <si>
    <t>982-123736249275-CDBH</t>
  </si>
  <si>
    <t>15/12 14:18</t>
  </si>
  <si>
    <t>982-123736249265-CDBH</t>
  </si>
  <si>
    <t>982-123736253279-CDBH</t>
  </si>
  <si>
    <t>982-123718565156-CBYC</t>
  </si>
  <si>
    <t>12:39</t>
  </si>
  <si>
    <t>982-123736249288-CDBH</t>
  </si>
  <si>
    <t>982-123718482813-CDBH</t>
  </si>
  <si>
    <t>13:30</t>
  </si>
  <si>
    <t>CDBH-15-179</t>
  </si>
  <si>
    <t>12565146-19-38</t>
  </si>
  <si>
    <t>13:32</t>
  </si>
  <si>
    <t>12565146-19-112</t>
  </si>
  <si>
    <t>12565146-19-25</t>
  </si>
  <si>
    <t>40541952 A</t>
  </si>
  <si>
    <t>982-123728901643-CDBH</t>
  </si>
  <si>
    <t>21/12 14:52</t>
  </si>
  <si>
    <t>982-123736070408-CBYC</t>
  </si>
  <si>
    <t>21/12 14:49</t>
  </si>
  <si>
    <t>982-123736249295-CDBH</t>
  </si>
  <si>
    <t>982-123728901634-CDBH</t>
  </si>
  <si>
    <t>982-123736253272-CDBH</t>
  </si>
  <si>
    <t>982-123728901723-CDBH</t>
  </si>
  <si>
    <t>13:11</t>
  </si>
  <si>
    <t>21/12 14:50</t>
  </si>
  <si>
    <t>982-123718482825-CDBH</t>
  </si>
  <si>
    <t>982-123733892787-CBYC</t>
  </si>
  <si>
    <t>982-123736253243-CDBH</t>
  </si>
  <si>
    <t>982-123736070396-CBYC</t>
  </si>
  <si>
    <t>179096-161</t>
  </si>
  <si>
    <t>21/12 14:51</t>
  </si>
  <si>
    <t>982-123736253235-CDBH</t>
  </si>
  <si>
    <t>982-123728901648-CDBH</t>
  </si>
  <si>
    <t>982-123736070409-CBYC</t>
  </si>
  <si>
    <t>12:32</t>
  </si>
  <si>
    <t>982-123718482852-CDBH</t>
  </si>
  <si>
    <t>982-123728901724-CDBH</t>
  </si>
  <si>
    <t>982-123728901699-CDBH</t>
  </si>
  <si>
    <t>CDBH-15-178</t>
  </si>
  <si>
    <t>982-123728901657-CDBH</t>
  </si>
  <si>
    <t>982-123718482837-CDBH</t>
  </si>
  <si>
    <t>40556631 A</t>
  </si>
  <si>
    <t>388</t>
  </si>
  <si>
    <t>982-123736070400-CBYC</t>
  </si>
  <si>
    <t>14:27</t>
  </si>
  <si>
    <t>389</t>
  </si>
  <si>
    <t>Contamination - Faecal</t>
  </si>
  <si>
    <t>12565146-19-62</t>
  </si>
  <si>
    <t>13/02 17:51</t>
  </si>
  <si>
    <t>390</t>
  </si>
  <si>
    <t>982-123553011655-8181</t>
  </si>
  <si>
    <t>13/02 17:54</t>
  </si>
  <si>
    <t>391</t>
  </si>
  <si>
    <t>12565146-19-14</t>
  </si>
  <si>
    <t>14:28</t>
  </si>
  <si>
    <t>13/02 17:52</t>
  </si>
  <si>
    <t>392</t>
  </si>
  <si>
    <t>982-123736253274-CDBH</t>
  </si>
  <si>
    <t>13/02 17:53</t>
  </si>
  <si>
    <t>393</t>
  </si>
  <si>
    <t>12565146-19-102</t>
  </si>
  <si>
    <t>394</t>
  </si>
  <si>
    <t>12565146-19-36</t>
  </si>
  <si>
    <t>14:46</t>
  </si>
  <si>
    <t>395</t>
  </si>
  <si>
    <t>12565146-19-21</t>
  </si>
  <si>
    <t>396</t>
  </si>
  <si>
    <t>982-123736070391-CBYC</t>
  </si>
  <si>
    <t>397</t>
  </si>
  <si>
    <t>12565146-19-74</t>
  </si>
  <si>
    <t>14:54</t>
  </si>
  <si>
    <t>398</t>
  </si>
  <si>
    <t>982-091001734240-CBYC</t>
  </si>
  <si>
    <t>13:50</t>
  </si>
  <si>
    <t>14:29</t>
  </si>
  <si>
    <t>399</t>
  </si>
  <si>
    <t>12565146-19-6</t>
  </si>
  <si>
    <t>400</t>
  </si>
  <si>
    <t>12565146-19-95</t>
  </si>
  <si>
    <t>401</t>
  </si>
  <si>
    <t>982-123736249306-CDBH</t>
  </si>
  <si>
    <t>13:53</t>
  </si>
  <si>
    <t>402</t>
  </si>
  <si>
    <t>12565146-19-18</t>
  </si>
  <si>
    <t>14:37</t>
  </si>
  <si>
    <t>403</t>
  </si>
  <si>
    <t>982-123736249302-CDBH</t>
  </si>
  <si>
    <t>404</t>
  </si>
  <si>
    <t>Arthritis</t>
  </si>
  <si>
    <t>982-123736249273-CDBH</t>
  </si>
  <si>
    <t>14:59</t>
  </si>
  <si>
    <t>405</t>
  </si>
  <si>
    <t>982-123736249308-CDBH</t>
  </si>
  <si>
    <t>13:58</t>
  </si>
  <si>
    <t>40699862 A</t>
  </si>
  <si>
    <t>248</t>
  </si>
  <si>
    <t>12565146-20-9</t>
  </si>
  <si>
    <t>10:55</t>
  </si>
  <si>
    <t>11:40</t>
  </si>
  <si>
    <t>20/11 12:13</t>
  </si>
  <si>
    <t>249</t>
  </si>
  <si>
    <t>12565146-20-18</t>
  </si>
  <si>
    <t>11:41</t>
  </si>
  <si>
    <t>20/11 12:16</t>
  </si>
  <si>
    <t>250</t>
  </si>
  <si>
    <t>12565146-20-34</t>
  </si>
  <si>
    <t>10:57</t>
  </si>
  <si>
    <t>11:42</t>
  </si>
  <si>
    <t>20/11 12:15</t>
  </si>
  <si>
    <t>251</t>
  </si>
  <si>
    <t>12565146-20-89</t>
  </si>
  <si>
    <t>11:43</t>
  </si>
  <si>
    <t>252</t>
  </si>
  <si>
    <t>12565146-20-25</t>
  </si>
  <si>
    <t>253</t>
  </si>
  <si>
    <t>12565146-20-38</t>
  </si>
  <si>
    <t>11:44</t>
  </si>
  <si>
    <t>254</t>
  </si>
  <si>
    <t>12565146-20-15</t>
  </si>
  <si>
    <t>11:00</t>
  </si>
  <si>
    <t>20/11 12:14</t>
  </si>
  <si>
    <t>255</t>
  </si>
  <si>
    <t>12565146-20-53</t>
  </si>
  <si>
    <t>11:01</t>
  </si>
  <si>
    <t>11:46</t>
  </si>
  <si>
    <t>20/11 12:06</t>
  </si>
  <si>
    <t>256</t>
  </si>
  <si>
    <t>12565146-20-29</t>
  </si>
  <si>
    <t>11:02</t>
  </si>
  <si>
    <t>11:47</t>
  </si>
  <si>
    <t>20/11 12:04</t>
  </si>
  <si>
    <t>257</t>
  </si>
  <si>
    <t>12565146-20-13</t>
  </si>
  <si>
    <t>11:03</t>
  </si>
  <si>
    <t>11:49</t>
  </si>
  <si>
    <t>258</t>
  </si>
  <si>
    <t>12565146-20-64</t>
  </si>
  <si>
    <t>11:04</t>
  </si>
  <si>
    <t>11:50</t>
  </si>
  <si>
    <t>259</t>
  </si>
  <si>
    <t>12565146-20-41</t>
  </si>
  <si>
    <t>11:05</t>
  </si>
  <si>
    <t>260</t>
  </si>
  <si>
    <t>12565146-20-4</t>
  </si>
  <si>
    <t>20/11 12:03</t>
  </si>
  <si>
    <t>261</t>
  </si>
  <si>
    <t>12565146-20-50</t>
  </si>
  <si>
    <t>11:06</t>
  </si>
  <si>
    <t>262</t>
  </si>
  <si>
    <t>12565146-20-90</t>
  </si>
  <si>
    <t>11:07</t>
  </si>
  <si>
    <t>263</t>
  </si>
  <si>
    <t>12565146-20-59</t>
  </si>
  <si>
    <t>11:09</t>
  </si>
  <si>
    <t>264</t>
  </si>
  <si>
    <t>12565146-20-46</t>
  </si>
  <si>
    <t>11:10</t>
  </si>
  <si>
    <t>265</t>
  </si>
  <si>
    <t>12565146-20-40</t>
  </si>
  <si>
    <t>11:11</t>
  </si>
  <si>
    <t>266</t>
  </si>
  <si>
    <t>12565146-20-69</t>
  </si>
  <si>
    <t>267</t>
  </si>
  <si>
    <t>12565146-20-19</t>
  </si>
  <si>
    <t>11:13</t>
  </si>
  <si>
    <t>20/11 12:05</t>
  </si>
  <si>
    <t>268</t>
  </si>
  <si>
    <t>12565146-20-28</t>
  </si>
  <si>
    <t>269</t>
  </si>
  <si>
    <t>12565146-20-35</t>
  </si>
  <si>
    <t>11:14</t>
  </si>
  <si>
    <t>270</t>
  </si>
  <si>
    <t>12565146-20-49</t>
  </si>
  <si>
    <t>11:15</t>
  </si>
  <si>
    <t>271</t>
  </si>
  <si>
    <t>12565146-20-3</t>
  </si>
  <si>
    <t>11:16</t>
  </si>
  <si>
    <t>272</t>
  </si>
  <si>
    <t>12565146-20-5</t>
  </si>
  <si>
    <t>11:17</t>
  </si>
  <si>
    <t>273</t>
  </si>
  <si>
    <t>12565146-20-8</t>
  </si>
  <si>
    <t>274</t>
  </si>
  <si>
    <t>12565146-20-47</t>
  </si>
  <si>
    <t>11:19</t>
  </si>
  <si>
    <t>275</t>
  </si>
  <si>
    <t>12565146-20-17</t>
  </si>
  <si>
    <t>11:20</t>
  </si>
  <si>
    <t>12565146-20-78</t>
  </si>
  <si>
    <t>12565146-20-57</t>
  </si>
  <si>
    <t>12565146-20-7</t>
  </si>
  <si>
    <t>12565146-20-82</t>
  </si>
  <si>
    <t>12565146-20-52</t>
  </si>
  <si>
    <t>12565146-20-87</t>
  </si>
  <si>
    <t>12565146-20-10</t>
  </si>
  <si>
    <t>12565146-20-76</t>
  </si>
  <si>
    <t>12565146-20-22</t>
  </si>
  <si>
    <t>12565146-20-60</t>
  </si>
  <si>
    <t>12565146-20-6</t>
  </si>
  <si>
    <t>41014837 A</t>
  </si>
  <si>
    <t>242</t>
  </si>
  <si>
    <t>12565146-22-41</t>
  </si>
  <si>
    <t>10:40</t>
  </si>
  <si>
    <t>08/12 16:11</t>
  </si>
  <si>
    <t>243</t>
  </si>
  <si>
    <t>982-123736253280-CDBH</t>
  </si>
  <si>
    <t>10:41</t>
  </si>
  <si>
    <t>244</t>
  </si>
  <si>
    <t>12565146-22-65</t>
  </si>
  <si>
    <t>10:42</t>
  </si>
  <si>
    <t>08/12 16:05</t>
  </si>
  <si>
    <t>245</t>
  </si>
  <si>
    <t>SRM</t>
  </si>
  <si>
    <t>12565146-22-29</t>
  </si>
  <si>
    <t>10:43</t>
  </si>
  <si>
    <t>11:35</t>
  </si>
  <si>
    <t>08/12 16:12</t>
  </si>
  <si>
    <t>246</t>
  </si>
  <si>
    <t>12565146-22-36</t>
  </si>
  <si>
    <t>10:44</t>
  </si>
  <si>
    <t>11:38</t>
  </si>
  <si>
    <t>247</t>
  </si>
  <si>
    <t>12565146-22-78</t>
  </si>
  <si>
    <t>10:45</t>
  </si>
  <si>
    <t>08/12 16:10</t>
  </si>
  <si>
    <t>982-123736253238-CDBH</t>
  </si>
  <si>
    <t>10:46</t>
  </si>
  <si>
    <t>12565146-22-56</t>
  </si>
  <si>
    <t>10:47</t>
  </si>
  <si>
    <t>12565146-22-71</t>
  </si>
  <si>
    <t>12565146-22-46</t>
  </si>
  <si>
    <t>12565146-22-67</t>
  </si>
  <si>
    <t>10:49</t>
  </si>
  <si>
    <t>12565146-22-94</t>
  </si>
  <si>
    <t>11:34</t>
  </si>
  <si>
    <t>12565146-22-105</t>
  </si>
  <si>
    <t>11:36</t>
  </si>
  <si>
    <t>12565146-22-103</t>
  </si>
  <si>
    <t>10:52</t>
  </si>
  <si>
    <t>12565146-22-70</t>
  </si>
  <si>
    <t>10:54</t>
  </si>
  <si>
    <t>11:37</t>
  </si>
  <si>
    <t>12565146-22-21</t>
  </si>
  <si>
    <t>11:39</t>
  </si>
  <si>
    <t>08/12 16:07</t>
  </si>
  <si>
    <t>12565146-22-25</t>
  </si>
  <si>
    <t>12565146-22-13</t>
  </si>
  <si>
    <t>12565146-22-22</t>
  </si>
  <si>
    <t>12565146-22-110</t>
  </si>
  <si>
    <t>12565146-22-96</t>
  </si>
  <si>
    <t>11:51</t>
  </si>
  <si>
    <t>12565146-22-92</t>
  </si>
  <si>
    <t>08/12 16:08</t>
  </si>
  <si>
    <t>12565146-22-42</t>
  </si>
  <si>
    <t>11:45</t>
  </si>
  <si>
    <t>12565146-22-97</t>
  </si>
  <si>
    <t>12565146-22-16</t>
  </si>
  <si>
    <t>12565146-22-91</t>
  </si>
  <si>
    <t>11:48</t>
  </si>
  <si>
    <t>12565146-22-113</t>
  </si>
  <si>
    <t>12565146-22-15</t>
  </si>
  <si>
    <t>12565146-22-3</t>
  </si>
  <si>
    <t>12565146-22-51</t>
  </si>
  <si>
    <t>11:08</t>
  </si>
  <si>
    <t>12565146-22-61</t>
  </si>
  <si>
    <t>12565146-22-79</t>
  </si>
  <si>
    <t>12565146-22-68</t>
  </si>
  <si>
    <t>12565146-22-99</t>
  </si>
  <si>
    <t>11:12</t>
  </si>
  <si>
    <t>12565146-22-57</t>
  </si>
  <si>
    <t>12565146-22-108</t>
  </si>
  <si>
    <t>12565146-22-10</t>
  </si>
  <si>
    <t>12565146-22-107</t>
  </si>
  <si>
    <t>12565146-22-64</t>
  </si>
  <si>
    <t>12565146-22-76</t>
  </si>
  <si>
    <t>40744300 A</t>
  </si>
  <si>
    <t>82</t>
  </si>
  <si>
    <t>12565146-20-14</t>
  </si>
  <si>
    <t>07:16</t>
  </si>
  <si>
    <t>08:08</t>
  </si>
  <si>
    <t>30/04 13:51</t>
  </si>
  <si>
    <t>83</t>
  </si>
  <si>
    <t>12565146-20-23</t>
  </si>
  <si>
    <t>08:09</t>
  </si>
  <si>
    <t>30/04 13:50</t>
  </si>
  <si>
    <t>84</t>
  </si>
  <si>
    <t>12565146-20-16</t>
  </si>
  <si>
    <t>07:17</t>
  </si>
  <si>
    <t>08:15</t>
  </si>
  <si>
    <t>85</t>
  </si>
  <si>
    <t>12565146-20-2</t>
  </si>
  <si>
    <t>07:18</t>
  </si>
  <si>
    <t>08:16</t>
  </si>
  <si>
    <t>40857241 A</t>
  </si>
  <si>
    <t>161</t>
  </si>
  <si>
    <t>12565146-21-88</t>
  </si>
  <si>
    <t>08:49</t>
  </si>
  <si>
    <t>29/10 12:20</t>
  </si>
  <si>
    <t>162</t>
  </si>
  <si>
    <t>12565146-21-92</t>
  </si>
  <si>
    <t>08:50</t>
  </si>
  <si>
    <t>09:56</t>
  </si>
  <si>
    <t>29/10 12:21</t>
  </si>
  <si>
    <t>163</t>
  </si>
  <si>
    <t>12565146-21-31</t>
  </si>
  <si>
    <t>08:51</t>
  </si>
  <si>
    <t>09:58</t>
  </si>
  <si>
    <t>29/10 12:16</t>
  </si>
  <si>
    <t>164</t>
  </si>
  <si>
    <t>12565146-21-102</t>
  </si>
  <si>
    <t>08:52</t>
  </si>
  <si>
    <t>29/10 12:19</t>
  </si>
  <si>
    <t>165</t>
  </si>
  <si>
    <t>12565146-21-90</t>
  </si>
  <si>
    <t>08:53</t>
  </si>
  <si>
    <t>09:59</t>
  </si>
  <si>
    <t>166</t>
  </si>
  <si>
    <t>12565146-21-9</t>
  </si>
  <si>
    <t>10:00</t>
  </si>
  <si>
    <t>167</t>
  </si>
  <si>
    <t>12565146-21-101</t>
  </si>
  <si>
    <t>10:18</t>
  </si>
  <si>
    <t>168</t>
  </si>
  <si>
    <t>12565146-21-73</t>
  </si>
  <si>
    <t>10:02</t>
  </si>
  <si>
    <t>29/10 12:22</t>
  </si>
  <si>
    <t>169</t>
  </si>
  <si>
    <t>12565146-21-94</t>
  </si>
  <si>
    <t>170</t>
  </si>
  <si>
    <t>12565146-21-46</t>
  </si>
  <si>
    <t>10:04</t>
  </si>
  <si>
    <t>171</t>
  </si>
  <si>
    <t>12565146-21-66</t>
  </si>
  <si>
    <t>172</t>
  </si>
  <si>
    <t>12565146-21-18</t>
  </si>
  <si>
    <t>10:05</t>
  </si>
  <si>
    <t>29/10 12:17</t>
  </si>
  <si>
    <t>173</t>
  </si>
  <si>
    <t>12565146-21-16</t>
  </si>
  <si>
    <t>10:19</t>
  </si>
  <si>
    <t>174</t>
  </si>
  <si>
    <t>12565146-21-87</t>
  </si>
  <si>
    <t>09:01</t>
  </si>
  <si>
    <t>175</t>
  </si>
  <si>
    <t>12565146-21-97</t>
  </si>
  <si>
    <t>09:02</t>
  </si>
  <si>
    <t>176</t>
  </si>
  <si>
    <t>12565146-21-11</t>
  </si>
  <si>
    <t>09:03</t>
  </si>
  <si>
    <t>177</t>
  </si>
  <si>
    <t>12565146-21-42</t>
  </si>
  <si>
    <t>09:04</t>
  </si>
  <si>
    <t>178</t>
  </si>
  <si>
    <t>12565146-21-89</t>
  </si>
  <si>
    <t>09:05</t>
  </si>
  <si>
    <t>29/10 12:15</t>
  </si>
  <si>
    <t>12565146-21-35</t>
  </si>
  <si>
    <t>10:25</t>
  </si>
  <si>
    <t>12565146-21-104</t>
  </si>
  <si>
    <t>09:06</t>
  </si>
  <si>
    <t>12565146-21-38</t>
  </si>
  <si>
    <t>09:07</t>
  </si>
  <si>
    <t>29/10 12:14</t>
  </si>
  <si>
    <t>12565146-21-103</t>
  </si>
  <si>
    <t>09:08</t>
  </si>
  <si>
    <t>10:15</t>
  </si>
  <si>
    <t>12565146-21-78</t>
  </si>
  <si>
    <t>09:09</t>
  </si>
  <si>
    <t>10:16</t>
  </si>
  <si>
    <t>12565146-21-98</t>
  </si>
  <si>
    <t>09:10</t>
  </si>
  <si>
    <t>10:17</t>
  </si>
  <si>
    <t>12565146-21-26</t>
  </si>
  <si>
    <t>09:11</t>
  </si>
  <si>
    <t>186</t>
  </si>
  <si>
    <t>12565146-21-14</t>
  </si>
  <si>
    <t>10:31</t>
  </si>
  <si>
    <t>187</t>
  </si>
  <si>
    <t>12565146-21-37</t>
  </si>
  <si>
    <t>10:20</t>
  </si>
  <si>
    <t>188</t>
  </si>
  <si>
    <t>12565146-21-56</t>
  </si>
  <si>
    <t>10:21</t>
  </si>
  <si>
    <t>189</t>
  </si>
  <si>
    <t>12565146-21-71</t>
  </si>
  <si>
    <t>09:38</t>
  </si>
  <si>
    <t>10:22</t>
  </si>
  <si>
    <t>190</t>
  </si>
  <si>
    <t>12565146-21-13</t>
  </si>
  <si>
    <t>10:23</t>
  </si>
  <si>
    <t>191</t>
  </si>
  <si>
    <t>12565146-21-61</t>
  </si>
  <si>
    <t>09:39</t>
  </si>
  <si>
    <t>192</t>
  </si>
  <si>
    <t>12565146-21-57</t>
  </si>
  <si>
    <t>09:40</t>
  </si>
  <si>
    <t>10:26</t>
  </si>
  <si>
    <t>193</t>
  </si>
  <si>
    <t>12565146-21-68</t>
  </si>
  <si>
    <t>10:27</t>
  </si>
  <si>
    <t>194</t>
  </si>
  <si>
    <t>12565146-21-67</t>
  </si>
  <si>
    <t>09:42</t>
  </si>
  <si>
    <t>10:28</t>
  </si>
  <si>
    <t>195</t>
  </si>
  <si>
    <t>12565146-21-81</t>
  </si>
  <si>
    <t>09:43</t>
  </si>
  <si>
    <t>10:29</t>
  </si>
  <si>
    <t>196</t>
  </si>
  <si>
    <t>12565146-21-39</t>
  </si>
  <si>
    <t>197</t>
  </si>
  <si>
    <t>12565146-21-59</t>
  </si>
  <si>
    <t>09:44</t>
  </si>
  <si>
    <t>10:30</t>
  </si>
  <si>
    <t>198</t>
  </si>
  <si>
    <t>12565146-21-69</t>
  </si>
  <si>
    <t>09:45</t>
  </si>
  <si>
    <t>10:32</t>
  </si>
  <si>
    <t>199</t>
  </si>
  <si>
    <t>12565146-21-49</t>
  </si>
  <si>
    <t>09:46</t>
  </si>
  <si>
    <t>10:33</t>
  </si>
  <si>
    <t>200</t>
  </si>
  <si>
    <t>12565146-21-5</t>
  </si>
  <si>
    <t>09:47</t>
  </si>
  <si>
    <t>40864176 A</t>
  </si>
  <si>
    <t>209</t>
  </si>
  <si>
    <t>CDBH-21-390</t>
  </si>
  <si>
    <t>22/11 19:18</t>
  </si>
  <si>
    <t>210</t>
  </si>
  <si>
    <t>12565146-21-51</t>
  </si>
  <si>
    <t>10:03</t>
  </si>
  <si>
    <t>211</t>
  </si>
  <si>
    <t>12565146-21-65</t>
  </si>
  <si>
    <t>22/11 19:17</t>
  </si>
  <si>
    <t>212</t>
  </si>
  <si>
    <t>12565146-21-53</t>
  </si>
  <si>
    <t>22/11 19:23</t>
  </si>
  <si>
    <t>213</t>
  </si>
  <si>
    <t>12565146-21-54</t>
  </si>
  <si>
    <t>22/11 19:20</t>
  </si>
  <si>
    <t>214</t>
  </si>
  <si>
    <t>12565146-21-75</t>
  </si>
  <si>
    <t>215</t>
  </si>
  <si>
    <t>12565146-21-96</t>
  </si>
  <si>
    <t>12565146-21-20</t>
  </si>
  <si>
    <t>22/11 19:24</t>
  </si>
  <si>
    <t>12565146-21-70</t>
  </si>
  <si>
    <t>CDBH-21-312</t>
  </si>
  <si>
    <t>CDBH-21-388</t>
  </si>
  <si>
    <t>CDBH-21-382</t>
  </si>
  <si>
    <t>CDBH-21-389</t>
  </si>
  <si>
    <t>22/11 19:21</t>
  </si>
  <si>
    <t>12565146-21-52</t>
  </si>
  <si>
    <t>CDBH-21-383</t>
  </si>
  <si>
    <t>CDBH-21-377</t>
  </si>
  <si>
    <t>225</t>
  </si>
  <si>
    <t>CDBH-21-386</t>
  </si>
  <si>
    <t>226</t>
  </si>
  <si>
    <t>CDBH-21-349</t>
  </si>
  <si>
    <t>227</t>
  </si>
  <si>
    <t>12565146-21-15</t>
  </si>
  <si>
    <t>228</t>
  </si>
  <si>
    <t>12565146-21-8</t>
  </si>
  <si>
    <t>229</t>
  </si>
  <si>
    <t>CDBH-21-379</t>
  </si>
  <si>
    <t>22/11 19:19</t>
  </si>
  <si>
    <t>230</t>
  </si>
  <si>
    <t>40912489 A</t>
  </si>
  <si>
    <t>755</t>
  </si>
  <si>
    <t>L2</t>
  </si>
  <si>
    <t>CDBH-22-349</t>
  </si>
  <si>
    <t>22:17</t>
  </si>
  <si>
    <t>23:06</t>
  </si>
  <si>
    <t>21/05 15:24</t>
  </si>
  <si>
    <t>756</t>
  </si>
  <si>
    <t>CDBH-22-309</t>
  </si>
  <si>
    <t>23:07</t>
  </si>
  <si>
    <t>757</t>
  </si>
  <si>
    <t>CDBH-22-332</t>
  </si>
  <si>
    <t>22:18</t>
  </si>
  <si>
    <t>23:09</t>
  </si>
  <si>
    <t>758</t>
  </si>
  <si>
    <t>982-123790979314-CBYC</t>
  </si>
  <si>
    <t>21/05 15:21</t>
  </si>
  <si>
    <t>759</t>
  </si>
  <si>
    <t>CDBH-22-375</t>
  </si>
  <si>
    <t>22:20</t>
  </si>
  <si>
    <t>23:11</t>
  </si>
  <si>
    <t>21/05 15:18</t>
  </si>
  <si>
    <t>760</t>
  </si>
  <si>
    <t>982-123790979323-CBYC</t>
  </si>
  <si>
    <t>22:22</t>
  </si>
  <si>
    <t>23:14</t>
  </si>
  <si>
    <t>761</t>
  </si>
  <si>
    <t>CDBH-22-327</t>
  </si>
  <si>
    <t>23:15</t>
  </si>
  <si>
    <t>762</t>
  </si>
  <si>
    <t>CDBH-22-322</t>
  </si>
  <si>
    <t>22:24</t>
  </si>
  <si>
    <t>23:17</t>
  </si>
  <si>
    <t>763</t>
  </si>
  <si>
    <t>CDBH-22-368</t>
  </si>
  <si>
    <t>22:25</t>
  </si>
  <si>
    <t>23:18</t>
  </si>
  <si>
    <t>764</t>
  </si>
  <si>
    <t>CDBH-22-341</t>
  </si>
  <si>
    <t>22:26</t>
  </si>
  <si>
    <t>765</t>
  </si>
  <si>
    <t>CDBH-22-386</t>
  </si>
  <si>
    <t>22:28</t>
  </si>
  <si>
    <t>23:19</t>
  </si>
  <si>
    <t>21/05 15:19</t>
  </si>
  <si>
    <t>766</t>
  </si>
  <si>
    <t>CDBH-22-307</t>
  </si>
  <si>
    <t>23:21</t>
  </si>
  <si>
    <t>767</t>
  </si>
  <si>
    <t>CDBH-22-333</t>
  </si>
  <si>
    <t>22:29</t>
  </si>
  <si>
    <t>23:23</t>
  </si>
  <si>
    <t>768</t>
  </si>
  <si>
    <t>CDBH-22-357</t>
  </si>
  <si>
    <t>22:30</t>
  </si>
  <si>
    <t>769</t>
  </si>
  <si>
    <t>CDBH-22-382</t>
  </si>
  <si>
    <t>22:31</t>
  </si>
  <si>
    <t>23:24</t>
  </si>
  <si>
    <t>Processing location</t>
  </si>
  <si>
    <t>washed</t>
  </si>
  <si>
    <t>Y</t>
  </si>
  <si>
    <t>Date processed (kill date)</t>
  </si>
  <si>
    <t>kill sheet#</t>
  </si>
  <si>
    <t>B2</t>
  </si>
  <si>
    <t>A</t>
  </si>
  <si>
    <t>presentation  Grade</t>
  </si>
  <si>
    <t>lairage time (calculated)</t>
  </si>
  <si>
    <t>Transport distance (calculated)</t>
  </si>
  <si>
    <t>NZDI</t>
  </si>
  <si>
    <t>total rain</t>
  </si>
  <si>
    <t>avg max THI</t>
  </si>
  <si>
    <t>agv max HLI</t>
  </si>
  <si>
    <t>agv max grazing HLI2</t>
  </si>
  <si>
    <t>"rained"</t>
  </si>
  <si>
    <t>"summer"</t>
  </si>
  <si>
    <t>N</t>
  </si>
  <si>
    <t>10/03/2021 12:30pm</t>
  </si>
  <si>
    <t>Transport time (hours, calculated)</t>
  </si>
  <si>
    <t>on farm pick up time</t>
  </si>
  <si>
    <t>4/05/2021 9:00 a.m.</t>
  </si>
  <si>
    <t>8/8/21 9:00 a.m.</t>
  </si>
  <si>
    <t>8/12/22 4:00 p.m.</t>
  </si>
  <si>
    <t>30/4/23 9:30 a.m.</t>
  </si>
  <si>
    <t>29/10/23 7:30 a.m.</t>
  </si>
  <si>
    <t>22/11/23 12:00 a.m.</t>
  </si>
  <si>
    <t>21/05/2024 1:00 p.m.</t>
  </si>
  <si>
    <t>Condemned Part,Pleurisy,Pyogenic Lesions</t>
  </si>
  <si>
    <t>bruised defect</t>
  </si>
  <si>
    <t>cirrhosis defect</t>
  </si>
  <si>
    <t>inoculation</t>
  </si>
  <si>
    <t>others</t>
  </si>
  <si>
    <t>pleuresy</t>
  </si>
  <si>
    <t>condemned part</t>
  </si>
  <si>
    <t>arthritis</t>
  </si>
  <si>
    <t>sum defects</t>
  </si>
  <si>
    <t>pyogenic lesions</t>
  </si>
  <si>
    <t>peritonitis</t>
  </si>
  <si>
    <t>contamination</t>
  </si>
  <si>
    <t>SRM (specified risk material)</t>
  </si>
  <si>
    <t>C</t>
  </si>
  <si>
    <t>carcass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</si>
</sst>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theme="9" tint="0.39997558519241921"/>
      </right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2" fillId="2" borderId="0" xfId="0" applyNumberFormat="1" applyFont="1" applyFill="1" applyAlignment="1">
      <alignment horizontal="center" vertical="top" wrapText="1"/>
    </xf>
    <xf numFmtId="0" fontId="0" fillId="0" borderId="2" xfId="0" applyBorder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4" fontId="3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2" fontId="0" fillId="0" borderId="0" xfId="0" applyNumberFormat="1" applyAlignment="1">
      <alignment vertical="center"/>
    </xf>
    <xf numFmtId="2" fontId="0" fillId="0" borderId="2" xfId="0" applyNumberFormat="1" applyBorder="1"/>
    <xf numFmtId="2" fontId="0" fillId="0" borderId="2" xfId="0" applyNumberFormat="1" applyBorder="1" applyAlignment="1">
      <alignment vertical="center"/>
    </xf>
    <xf numFmtId="4" fontId="0" fillId="0" borderId="0" xfId="0" applyNumberFormat="1"/>
    <xf numFmtId="22" fontId="0" fillId="0" borderId="0" xfId="0" applyNumberFormat="1" applyAlignment="1">
      <alignment horizontal="center"/>
    </xf>
    <xf numFmtId="22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textRotation="90"/>
    </xf>
    <xf numFmtId="164" fontId="1" fillId="2" borderId="0" xfId="0" applyNumberFormat="1" applyFont="1" applyFill="1" applyAlignment="1">
      <alignment horizontal="left"/>
    </xf>
    <xf numFmtId="0" fontId="0" fillId="0" borderId="5" xfId="0" applyBorder="1"/>
    <xf numFmtId="0" fontId="0" fillId="0" borderId="1" xfId="0" applyBorder="1"/>
    <xf numFmtId="0" fontId="0" fillId="0" borderId="3" xfId="0" applyBorder="1"/>
    <xf numFmtId="2" fontId="0" fillId="0" borderId="0" xfId="0" applyNumberFormat="1" applyFill="1" applyBorder="1"/>
    <xf numFmtId="2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5963-F4E8-44C5-B446-996C49950C7D}">
  <dimension ref="A1:AO394"/>
  <sheetViews>
    <sheetView tabSelected="1" zoomScale="80" zoomScaleNormal="80" workbookViewId="0">
      <pane ySplit="1" topLeftCell="A271" activePane="bottomLeft" state="frozen"/>
      <selection activeCell="B1" sqref="B1"/>
      <selection pane="bottomLeft" activeCell="K1" sqref="K1"/>
    </sheetView>
  </sheetViews>
  <sheetFormatPr defaultRowHeight="15" x14ac:dyDescent="0.25"/>
  <cols>
    <col min="1" max="1" width="15.85546875" customWidth="1"/>
    <col min="2" max="2" width="14" customWidth="1"/>
    <col min="3" max="10" width="9.140625" customWidth="1"/>
    <col min="11" max="11" width="43.28515625" customWidth="1"/>
    <col min="12" max="25" width="9.140625" customWidth="1"/>
    <col min="26" max="26" width="13" customWidth="1"/>
    <col min="27" max="27" width="12.5703125" customWidth="1"/>
    <col min="28" max="29" width="9.140625" customWidth="1"/>
    <col min="30" max="30" width="31.7109375" customWidth="1"/>
    <col min="31" max="31" width="20" customWidth="1"/>
    <col min="32" max="32" width="18.7109375" customWidth="1"/>
    <col min="33" max="34" width="9.140625" customWidth="1"/>
    <col min="41" max="41" width="12.28515625" customWidth="1"/>
  </cols>
  <sheetData>
    <row r="1" spans="1:41" ht="144" x14ac:dyDescent="0.25">
      <c r="A1" s="1" t="s">
        <v>1033</v>
      </c>
      <c r="B1" s="27" t="s">
        <v>1034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1072</v>
      </c>
      <c r="H1" s="27" t="s">
        <v>4</v>
      </c>
      <c r="I1" s="27" t="s">
        <v>5</v>
      </c>
      <c r="J1" s="27"/>
      <c r="K1" s="27" t="s">
        <v>6</v>
      </c>
      <c r="L1" s="28" t="s">
        <v>1066</v>
      </c>
      <c r="M1" s="28" t="s">
        <v>1065</v>
      </c>
      <c r="N1" s="28" t="s">
        <v>1060</v>
      </c>
      <c r="O1" s="28" t="s">
        <v>1059</v>
      </c>
      <c r="P1" s="28" t="s">
        <v>1061</v>
      </c>
      <c r="Q1" s="28" t="s">
        <v>1063</v>
      </c>
      <c r="R1" s="28" t="s">
        <v>1070</v>
      </c>
      <c r="S1" s="28" t="s">
        <v>1069</v>
      </c>
      <c r="T1" s="28" t="s">
        <v>1064</v>
      </c>
      <c r="U1" s="28" t="s">
        <v>1067</v>
      </c>
      <c r="V1" s="28" t="s">
        <v>1068</v>
      </c>
      <c r="W1" s="28" t="s">
        <v>1062</v>
      </c>
      <c r="X1" s="27" t="s">
        <v>7</v>
      </c>
      <c r="Y1" s="27" t="s">
        <v>8</v>
      </c>
      <c r="Z1" s="29" t="s">
        <v>9</v>
      </c>
      <c r="AA1" s="27" t="s">
        <v>10</v>
      </c>
      <c r="AB1" s="16" t="s">
        <v>1038</v>
      </c>
      <c r="AC1" s="27" t="s">
        <v>1030</v>
      </c>
      <c r="AD1" s="16" t="s">
        <v>1050</v>
      </c>
      <c r="AE1" s="17" t="s">
        <v>1039</v>
      </c>
      <c r="AF1" s="17" t="s">
        <v>1049</v>
      </c>
      <c r="AG1" s="17" t="s">
        <v>1037</v>
      </c>
      <c r="AH1" s="15" t="s">
        <v>1031</v>
      </c>
      <c r="AI1" s="15" t="s">
        <v>1040</v>
      </c>
      <c r="AJ1" s="16" t="s">
        <v>1041</v>
      </c>
      <c r="AK1" s="16" t="s">
        <v>1042</v>
      </c>
      <c r="AL1" s="16" t="s">
        <v>1043</v>
      </c>
      <c r="AM1" s="16" t="s">
        <v>1044</v>
      </c>
      <c r="AN1" s="17" t="s">
        <v>1045</v>
      </c>
      <c r="AO1" s="17" t="s">
        <v>1046</v>
      </c>
    </row>
    <row r="2" spans="1:41" ht="15.75" x14ac:dyDescent="0.25">
      <c r="A2" s="7">
        <v>43923</v>
      </c>
      <c r="B2" s="30" t="s">
        <v>11</v>
      </c>
      <c r="C2" t="s">
        <v>13</v>
      </c>
      <c r="D2" t="s">
        <v>12</v>
      </c>
      <c r="E2" t="s">
        <v>14</v>
      </c>
      <c r="F2">
        <v>2</v>
      </c>
      <c r="G2">
        <v>291</v>
      </c>
      <c r="H2">
        <v>509.2</v>
      </c>
      <c r="I2">
        <v>57.1</v>
      </c>
      <c r="L2">
        <f t="shared" ref="L2:L13" si="0">M2+N2+O2+P2+Q2+R2+T2+U2+V2+W2</f>
        <v>0</v>
      </c>
      <c r="M2">
        <f t="shared" ref="M2:M13" si="1">IF(K2="Arthritis", 1, 0)</f>
        <v>0</v>
      </c>
      <c r="N2">
        <f t="shared" ref="N2:N21" si="2">IF(K2="cirrhosis", 1, 0)</f>
        <v>0</v>
      </c>
      <c r="O2">
        <f t="shared" ref="O2:O21" si="3">IF(K2="bruised", 1, 0)</f>
        <v>0</v>
      </c>
      <c r="P2">
        <f t="shared" ref="P2:P21" si="4">IF(K2="inoculation", 1, 0)</f>
        <v>0</v>
      </c>
      <c r="Q2">
        <f t="shared" ref="Q2:Q9" si="5">IF(K2="Pleurisy", 1, 0)</f>
        <v>0</v>
      </c>
      <c r="R2">
        <f t="shared" ref="R2:R13" si="6">IF(K2="SRM", 1, 0)</f>
        <v>0</v>
      </c>
      <c r="S2">
        <f t="shared" ref="S2:S27" si="7">IF(K2="contamination", 1, 0)</f>
        <v>0</v>
      </c>
      <c r="T2">
        <f t="shared" ref="T2:T21" si="8">IF(J2="Condemned", 1, 0)</f>
        <v>0</v>
      </c>
      <c r="U2">
        <f t="shared" ref="U2:U13" si="9">IF(K2="Pyogenic", 1, 0)</f>
        <v>0</v>
      </c>
      <c r="V2">
        <f t="shared" ref="V2:V13" si="10">IF(K2="Peritonitis", 1, 0)</f>
        <v>0</v>
      </c>
      <c r="W2">
        <f t="shared" ref="W2:W13" si="11">IF(K2="Other", 1, 0)</f>
        <v>0</v>
      </c>
      <c r="X2" t="s">
        <v>15</v>
      </c>
      <c r="Y2" t="s">
        <v>16</v>
      </c>
      <c r="Z2" s="4">
        <v>0.43125000000000002</v>
      </c>
      <c r="AA2" t="s">
        <v>17</v>
      </c>
      <c r="AB2">
        <f>(24-15.5)+9.5</f>
        <v>18</v>
      </c>
      <c r="AC2" s="8" t="s">
        <v>1071</v>
      </c>
      <c r="AD2" s="22">
        <v>43922.333333333336</v>
      </c>
      <c r="AE2" s="8">
        <v>175</v>
      </c>
      <c r="AF2" s="8">
        <v>7.5</v>
      </c>
      <c r="AG2" s="8" t="s">
        <v>1036</v>
      </c>
      <c r="AH2" s="8" t="s">
        <v>1032</v>
      </c>
      <c r="AI2" s="11">
        <v>1.44</v>
      </c>
      <c r="AJ2" s="11">
        <v>0</v>
      </c>
      <c r="AK2" s="11">
        <v>67.268900000000016</v>
      </c>
      <c r="AL2" s="11">
        <v>72.194790079744067</v>
      </c>
      <c r="AM2" s="11">
        <v>51.556399999999996</v>
      </c>
      <c r="AN2" s="8" t="s">
        <v>1032</v>
      </c>
      <c r="AO2" s="8" t="s">
        <v>1047</v>
      </c>
    </row>
    <row r="3" spans="1:41" x14ac:dyDescent="0.25">
      <c r="B3" s="31" t="s">
        <v>11</v>
      </c>
      <c r="C3" t="s">
        <v>18</v>
      </c>
      <c r="D3" t="s">
        <v>12</v>
      </c>
      <c r="E3" t="s">
        <v>14</v>
      </c>
      <c r="F3">
        <v>4</v>
      </c>
      <c r="G3">
        <v>321</v>
      </c>
      <c r="H3">
        <v>592.70000000000005</v>
      </c>
      <c r="I3">
        <v>54.2</v>
      </c>
      <c r="L3">
        <f t="shared" si="0"/>
        <v>0</v>
      </c>
      <c r="M3">
        <f t="shared" si="1"/>
        <v>0</v>
      </c>
      <c r="N3">
        <f t="shared" si="2"/>
        <v>0</v>
      </c>
      <c r="O3">
        <f t="shared" si="3"/>
        <v>0</v>
      </c>
      <c r="P3">
        <f t="shared" si="4"/>
        <v>0</v>
      </c>
      <c r="Q3">
        <f t="shared" si="5"/>
        <v>0</v>
      </c>
      <c r="R3">
        <f t="shared" si="6"/>
        <v>0</v>
      </c>
      <c r="S3">
        <f t="shared" si="7"/>
        <v>0</v>
      </c>
      <c r="T3">
        <f t="shared" si="8"/>
        <v>0</v>
      </c>
      <c r="U3">
        <f t="shared" si="9"/>
        <v>0</v>
      </c>
      <c r="V3">
        <f t="shared" si="10"/>
        <v>0</v>
      </c>
      <c r="W3">
        <f t="shared" si="11"/>
        <v>0</v>
      </c>
      <c r="X3" t="s">
        <v>19</v>
      </c>
      <c r="Y3" t="s">
        <v>20</v>
      </c>
      <c r="Z3" s="4">
        <v>0.43194444444444446</v>
      </c>
      <c r="AA3" t="s">
        <v>21</v>
      </c>
      <c r="AB3" s="12">
        <v>18</v>
      </c>
      <c r="AC3" s="8" t="s">
        <v>1071</v>
      </c>
      <c r="AD3" s="22">
        <v>43922.333333333336</v>
      </c>
      <c r="AE3" s="8">
        <v>175</v>
      </c>
      <c r="AF3" s="8">
        <v>7.5</v>
      </c>
      <c r="AG3" s="8" t="s">
        <v>1036</v>
      </c>
      <c r="AH3" s="8" t="s">
        <v>1032</v>
      </c>
      <c r="AI3" s="11">
        <v>1.44</v>
      </c>
      <c r="AJ3" s="11">
        <v>0</v>
      </c>
      <c r="AK3" s="11">
        <v>67.268900000000016</v>
      </c>
      <c r="AL3" s="11">
        <v>72.194790079744067</v>
      </c>
      <c r="AM3" s="11">
        <v>51.556399999999996</v>
      </c>
      <c r="AN3" s="8" t="s">
        <v>1032</v>
      </c>
      <c r="AO3" s="8" t="s">
        <v>1047</v>
      </c>
    </row>
    <row r="4" spans="1:41" x14ac:dyDescent="0.25">
      <c r="B4" s="31" t="s">
        <v>11</v>
      </c>
      <c r="C4" t="s">
        <v>22</v>
      </c>
      <c r="D4" t="s">
        <v>12</v>
      </c>
      <c r="E4" t="s">
        <v>14</v>
      </c>
      <c r="F4">
        <v>2</v>
      </c>
      <c r="G4">
        <v>273</v>
      </c>
      <c r="H4">
        <v>587.79999999999995</v>
      </c>
      <c r="I4">
        <v>46.4</v>
      </c>
      <c r="L4">
        <f t="shared" si="0"/>
        <v>0</v>
      </c>
      <c r="M4">
        <f t="shared" si="1"/>
        <v>0</v>
      </c>
      <c r="N4">
        <f t="shared" si="2"/>
        <v>0</v>
      </c>
      <c r="O4">
        <f t="shared" si="3"/>
        <v>0</v>
      </c>
      <c r="P4">
        <f t="shared" si="4"/>
        <v>0</v>
      </c>
      <c r="Q4">
        <f t="shared" si="5"/>
        <v>0</v>
      </c>
      <c r="R4">
        <f t="shared" si="6"/>
        <v>0</v>
      </c>
      <c r="S4">
        <f t="shared" si="7"/>
        <v>0</v>
      </c>
      <c r="T4">
        <f t="shared" si="8"/>
        <v>0</v>
      </c>
      <c r="U4">
        <f t="shared" si="9"/>
        <v>0</v>
      </c>
      <c r="V4">
        <f t="shared" si="10"/>
        <v>0</v>
      </c>
      <c r="W4">
        <f t="shared" si="11"/>
        <v>0</v>
      </c>
      <c r="X4" t="s">
        <v>23</v>
      </c>
      <c r="Y4" t="s">
        <v>24</v>
      </c>
      <c r="Z4" s="4">
        <v>0.43263888888888891</v>
      </c>
      <c r="AA4" t="s">
        <v>17</v>
      </c>
      <c r="AB4">
        <v>18</v>
      </c>
      <c r="AC4" s="8" t="s">
        <v>1071</v>
      </c>
      <c r="AD4" s="22">
        <v>43922.333333333336</v>
      </c>
      <c r="AE4" s="8">
        <v>175</v>
      </c>
      <c r="AF4" s="8">
        <v>7.5</v>
      </c>
      <c r="AG4" s="8" t="s">
        <v>1036</v>
      </c>
      <c r="AH4" s="8" t="s">
        <v>1032</v>
      </c>
      <c r="AI4" s="11">
        <v>1.44</v>
      </c>
      <c r="AJ4" s="11">
        <v>0</v>
      </c>
      <c r="AK4" s="11">
        <v>67.268900000000016</v>
      </c>
      <c r="AL4" s="11">
        <v>72.194790079744067</v>
      </c>
      <c r="AM4" s="11">
        <v>51.556399999999996</v>
      </c>
      <c r="AN4" s="8" t="s">
        <v>1032</v>
      </c>
      <c r="AO4" s="8" t="s">
        <v>1047</v>
      </c>
    </row>
    <row r="5" spans="1:41" x14ac:dyDescent="0.25">
      <c r="B5" s="31" t="s">
        <v>11</v>
      </c>
      <c r="C5" t="s">
        <v>25</v>
      </c>
      <c r="D5" t="s">
        <v>12</v>
      </c>
      <c r="E5" t="s">
        <v>14</v>
      </c>
      <c r="F5">
        <v>2</v>
      </c>
      <c r="G5">
        <v>308</v>
      </c>
      <c r="H5">
        <v>591.20000000000005</v>
      </c>
      <c r="I5">
        <v>52.1</v>
      </c>
      <c r="L5">
        <f t="shared" si="0"/>
        <v>0</v>
      </c>
      <c r="M5">
        <f t="shared" si="1"/>
        <v>0</v>
      </c>
      <c r="N5">
        <f t="shared" si="2"/>
        <v>0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0</v>
      </c>
      <c r="T5">
        <f t="shared" si="8"/>
        <v>0</v>
      </c>
      <c r="U5">
        <f t="shared" si="9"/>
        <v>0</v>
      </c>
      <c r="V5">
        <f t="shared" si="10"/>
        <v>0</v>
      </c>
      <c r="W5">
        <f t="shared" si="11"/>
        <v>0</v>
      </c>
      <c r="X5" t="s">
        <v>26</v>
      </c>
      <c r="Y5" t="s">
        <v>27</v>
      </c>
      <c r="Z5" s="4">
        <v>0.43402777777777779</v>
      </c>
      <c r="AA5" t="s">
        <v>28</v>
      </c>
      <c r="AB5">
        <v>18</v>
      </c>
      <c r="AC5" s="8" t="s">
        <v>1071</v>
      </c>
      <c r="AD5" s="22">
        <v>43922.333333333336</v>
      </c>
      <c r="AE5" s="8">
        <v>175</v>
      </c>
      <c r="AF5" s="8">
        <v>7.5</v>
      </c>
      <c r="AG5" s="8" t="s">
        <v>1036</v>
      </c>
      <c r="AH5" s="8" t="s">
        <v>1032</v>
      </c>
      <c r="AI5" s="11">
        <v>1.44</v>
      </c>
      <c r="AJ5" s="11">
        <v>0</v>
      </c>
      <c r="AK5" s="11">
        <v>67.268900000000016</v>
      </c>
      <c r="AL5" s="11">
        <v>72.194790079744067</v>
      </c>
      <c r="AM5" s="11">
        <v>51.556399999999996</v>
      </c>
      <c r="AN5" s="8" t="s">
        <v>1032</v>
      </c>
      <c r="AO5" s="8" t="s">
        <v>1047</v>
      </c>
    </row>
    <row r="6" spans="1:41" x14ac:dyDescent="0.25">
      <c r="B6" s="31" t="s">
        <v>11</v>
      </c>
      <c r="C6" t="s">
        <v>29</v>
      </c>
      <c r="D6" t="s">
        <v>12</v>
      </c>
      <c r="E6" t="s">
        <v>14</v>
      </c>
      <c r="F6">
        <v>2</v>
      </c>
      <c r="G6">
        <v>323</v>
      </c>
      <c r="H6">
        <v>556.20000000000005</v>
      </c>
      <c r="I6">
        <v>58.1</v>
      </c>
      <c r="L6">
        <f t="shared" si="0"/>
        <v>0</v>
      </c>
      <c r="M6">
        <f t="shared" si="1"/>
        <v>0</v>
      </c>
      <c r="N6">
        <f t="shared" si="2"/>
        <v>0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T6">
        <f t="shared" si="8"/>
        <v>0</v>
      </c>
      <c r="U6">
        <f t="shared" si="9"/>
        <v>0</v>
      </c>
      <c r="V6">
        <f t="shared" si="10"/>
        <v>0</v>
      </c>
      <c r="W6">
        <f t="shared" si="11"/>
        <v>0</v>
      </c>
      <c r="X6" t="s">
        <v>30</v>
      </c>
      <c r="Y6" t="s">
        <v>31</v>
      </c>
      <c r="Z6" s="4">
        <v>0.43402777777777779</v>
      </c>
      <c r="AA6" t="s">
        <v>21</v>
      </c>
      <c r="AB6">
        <v>18</v>
      </c>
      <c r="AC6" s="8" t="s">
        <v>1071</v>
      </c>
      <c r="AD6" s="22">
        <v>43922.333333333336</v>
      </c>
      <c r="AE6" s="8">
        <v>175</v>
      </c>
      <c r="AF6" s="8">
        <v>7.5</v>
      </c>
      <c r="AG6" s="8" t="s">
        <v>1036</v>
      </c>
      <c r="AH6" s="8" t="s">
        <v>1032</v>
      </c>
      <c r="AI6" s="11">
        <v>1.44</v>
      </c>
      <c r="AJ6" s="11">
        <v>0</v>
      </c>
      <c r="AK6" s="11">
        <v>67.268900000000016</v>
      </c>
      <c r="AL6" s="11">
        <v>72.194790079744067</v>
      </c>
      <c r="AM6" s="11">
        <v>51.556399999999996</v>
      </c>
      <c r="AN6" s="8" t="s">
        <v>1032</v>
      </c>
      <c r="AO6" s="8" t="s">
        <v>1047</v>
      </c>
    </row>
    <row r="7" spans="1:41" x14ac:dyDescent="0.25">
      <c r="B7" s="31" t="s">
        <v>11</v>
      </c>
      <c r="C7" t="s">
        <v>32</v>
      </c>
      <c r="D7" t="s">
        <v>12</v>
      </c>
      <c r="E7" t="s">
        <v>14</v>
      </c>
      <c r="F7">
        <v>2</v>
      </c>
      <c r="G7">
        <v>319</v>
      </c>
      <c r="H7">
        <v>550</v>
      </c>
      <c r="I7">
        <v>58</v>
      </c>
      <c r="L7">
        <f t="shared" si="0"/>
        <v>0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T7">
        <f t="shared" si="8"/>
        <v>0</v>
      </c>
      <c r="U7">
        <f t="shared" si="9"/>
        <v>0</v>
      </c>
      <c r="V7">
        <f t="shared" si="10"/>
        <v>0</v>
      </c>
      <c r="W7">
        <f t="shared" si="11"/>
        <v>0</v>
      </c>
      <c r="X7" t="s">
        <v>33</v>
      </c>
      <c r="Y7" t="s">
        <v>34</v>
      </c>
      <c r="Z7" s="4">
        <v>0.43472222222222223</v>
      </c>
      <c r="AA7" t="s">
        <v>28</v>
      </c>
      <c r="AB7">
        <v>18</v>
      </c>
      <c r="AC7" s="8" t="s">
        <v>1071</v>
      </c>
      <c r="AD7" s="22">
        <v>43922.333333333336</v>
      </c>
      <c r="AE7" s="8">
        <v>175</v>
      </c>
      <c r="AF7" s="8">
        <v>7.5</v>
      </c>
      <c r="AG7" s="8" t="s">
        <v>1036</v>
      </c>
      <c r="AH7" s="8" t="s">
        <v>1032</v>
      </c>
      <c r="AI7" s="11">
        <v>1.44</v>
      </c>
      <c r="AJ7" s="11">
        <v>0</v>
      </c>
      <c r="AK7" s="11">
        <v>67.268900000000016</v>
      </c>
      <c r="AL7" s="11">
        <v>72.194790079744067</v>
      </c>
      <c r="AM7" s="11">
        <v>51.556399999999996</v>
      </c>
      <c r="AN7" s="8" t="s">
        <v>1032</v>
      </c>
      <c r="AO7" s="8" t="s">
        <v>1047</v>
      </c>
    </row>
    <row r="8" spans="1:41" x14ac:dyDescent="0.25">
      <c r="B8" s="31" t="s">
        <v>11</v>
      </c>
      <c r="C8" t="s">
        <v>35</v>
      </c>
      <c r="D8" t="s">
        <v>12</v>
      </c>
      <c r="E8" t="s">
        <v>14</v>
      </c>
      <c r="F8">
        <v>2</v>
      </c>
      <c r="G8">
        <v>295.5</v>
      </c>
      <c r="H8">
        <v>548.1</v>
      </c>
      <c r="I8">
        <v>53.9</v>
      </c>
      <c r="L8">
        <f t="shared" si="0"/>
        <v>0</v>
      </c>
      <c r="M8">
        <f t="shared" si="1"/>
        <v>0</v>
      </c>
      <c r="N8">
        <f t="shared" si="2"/>
        <v>0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T8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 t="s">
        <v>36</v>
      </c>
      <c r="Y8" t="s">
        <v>37</v>
      </c>
      <c r="Z8" s="4">
        <v>0.43541666666666667</v>
      </c>
      <c r="AA8" t="s">
        <v>21</v>
      </c>
      <c r="AB8">
        <v>18</v>
      </c>
      <c r="AC8" s="8" t="s">
        <v>1071</v>
      </c>
      <c r="AD8" s="22">
        <v>43922.333333333336</v>
      </c>
      <c r="AE8" s="8">
        <v>175</v>
      </c>
      <c r="AF8" s="8">
        <v>7.5</v>
      </c>
      <c r="AG8" s="8" t="s">
        <v>1036</v>
      </c>
      <c r="AH8" s="8" t="s">
        <v>1032</v>
      </c>
      <c r="AI8" s="11">
        <v>1.44</v>
      </c>
      <c r="AJ8" s="11">
        <v>0</v>
      </c>
      <c r="AK8" s="11">
        <v>67.268900000000016</v>
      </c>
      <c r="AL8" s="11">
        <v>72.194790079744067</v>
      </c>
      <c r="AM8" s="11">
        <v>51.556399999999996</v>
      </c>
      <c r="AN8" s="8" t="s">
        <v>1032</v>
      </c>
      <c r="AO8" s="8" t="s">
        <v>1047</v>
      </c>
    </row>
    <row r="9" spans="1:41" x14ac:dyDescent="0.25">
      <c r="B9" s="31" t="s">
        <v>11</v>
      </c>
      <c r="C9" t="s">
        <v>38</v>
      </c>
      <c r="D9" t="s">
        <v>12</v>
      </c>
      <c r="E9" t="s">
        <v>14</v>
      </c>
      <c r="F9">
        <v>2</v>
      </c>
      <c r="G9">
        <v>286</v>
      </c>
      <c r="H9">
        <v>578.4</v>
      </c>
      <c r="I9">
        <v>49.4</v>
      </c>
      <c r="L9">
        <f t="shared" si="0"/>
        <v>0</v>
      </c>
      <c r="M9">
        <f t="shared" si="1"/>
        <v>0</v>
      </c>
      <c r="N9">
        <f t="shared" si="2"/>
        <v>0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  <c r="S9">
        <f t="shared" si="7"/>
        <v>0</v>
      </c>
      <c r="T9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 t="s">
        <v>39</v>
      </c>
      <c r="Y9" t="s">
        <v>37</v>
      </c>
      <c r="Z9" s="4">
        <v>0.43680555555555556</v>
      </c>
      <c r="AA9" t="s">
        <v>17</v>
      </c>
      <c r="AB9">
        <v>18</v>
      </c>
      <c r="AC9" s="8" t="s">
        <v>1071</v>
      </c>
      <c r="AD9" s="22">
        <v>43922.333333333336</v>
      </c>
      <c r="AE9" s="8">
        <v>175</v>
      </c>
      <c r="AF9" s="8">
        <v>7.5</v>
      </c>
      <c r="AG9" s="8" t="s">
        <v>1036</v>
      </c>
      <c r="AH9" s="8" t="s">
        <v>1032</v>
      </c>
      <c r="AI9" s="11">
        <v>1.44</v>
      </c>
      <c r="AJ9" s="11">
        <v>0</v>
      </c>
      <c r="AK9" s="11">
        <v>67.268900000000016</v>
      </c>
      <c r="AL9" s="11">
        <v>72.194790079744067</v>
      </c>
      <c r="AM9" s="11">
        <v>51.556399999999996</v>
      </c>
      <c r="AN9" s="8" t="s">
        <v>1032</v>
      </c>
      <c r="AO9" s="8" t="s">
        <v>1047</v>
      </c>
    </row>
    <row r="10" spans="1:41" x14ac:dyDescent="0.25">
      <c r="B10" s="31" t="s">
        <v>11</v>
      </c>
      <c r="C10" t="s">
        <v>40</v>
      </c>
      <c r="D10" t="s">
        <v>12</v>
      </c>
      <c r="E10" t="s">
        <v>14</v>
      </c>
      <c r="F10">
        <v>2</v>
      </c>
      <c r="G10">
        <v>295</v>
      </c>
      <c r="H10">
        <v>584.79999999999995</v>
      </c>
      <c r="I10">
        <v>50.4</v>
      </c>
      <c r="K10" t="s">
        <v>41</v>
      </c>
      <c r="L10">
        <f t="shared" si="0"/>
        <v>1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0</v>
      </c>
      <c r="Q10">
        <f t="shared" ref="Q10:Q21" si="12">IF(K10="Pleurisy", 1, 0)</f>
        <v>1</v>
      </c>
      <c r="R10">
        <f t="shared" si="6"/>
        <v>0</v>
      </c>
      <c r="S10">
        <f t="shared" si="7"/>
        <v>0</v>
      </c>
      <c r="T10">
        <f t="shared" si="8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 t="s">
        <v>42</v>
      </c>
      <c r="Y10" t="s">
        <v>43</v>
      </c>
      <c r="Z10" s="4">
        <v>0.43958333333333333</v>
      </c>
      <c r="AA10" t="s">
        <v>28</v>
      </c>
      <c r="AB10">
        <v>18</v>
      </c>
      <c r="AC10" s="8" t="s">
        <v>1071</v>
      </c>
      <c r="AD10" s="22">
        <v>43922.333333333336</v>
      </c>
      <c r="AE10" s="8">
        <v>175</v>
      </c>
      <c r="AF10" s="8">
        <v>7.5</v>
      </c>
      <c r="AG10" s="8" t="s">
        <v>1036</v>
      </c>
      <c r="AH10" s="8" t="s">
        <v>1032</v>
      </c>
      <c r="AI10" s="11">
        <v>1.44</v>
      </c>
      <c r="AJ10" s="11">
        <v>0</v>
      </c>
      <c r="AK10" s="11">
        <v>67.268900000000016</v>
      </c>
      <c r="AL10" s="11">
        <v>72.194790079744067</v>
      </c>
      <c r="AM10" s="11">
        <v>51.556399999999996</v>
      </c>
      <c r="AN10" s="8" t="s">
        <v>1032</v>
      </c>
      <c r="AO10" s="8" t="s">
        <v>1047</v>
      </c>
    </row>
    <row r="11" spans="1:41" x14ac:dyDescent="0.25">
      <c r="B11" s="31" t="s">
        <v>11</v>
      </c>
      <c r="C11" t="s">
        <v>44</v>
      </c>
      <c r="D11" t="s">
        <v>12</v>
      </c>
      <c r="E11" t="s">
        <v>14</v>
      </c>
      <c r="F11">
        <v>4</v>
      </c>
      <c r="G11">
        <v>317</v>
      </c>
      <c r="H11">
        <v>583.6</v>
      </c>
      <c r="I11">
        <v>54.3</v>
      </c>
      <c r="L11">
        <f t="shared" si="0"/>
        <v>0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0</v>
      </c>
      <c r="Q11">
        <f t="shared" si="12"/>
        <v>0</v>
      </c>
      <c r="R11">
        <f t="shared" si="6"/>
        <v>0</v>
      </c>
      <c r="S11">
        <f t="shared" si="7"/>
        <v>0</v>
      </c>
      <c r="T11">
        <f t="shared" si="8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 t="s">
        <v>45</v>
      </c>
      <c r="Y11" t="s">
        <v>46</v>
      </c>
      <c r="Z11" s="4">
        <v>0.43819444444444444</v>
      </c>
      <c r="AA11" t="s">
        <v>17</v>
      </c>
      <c r="AB11">
        <v>18</v>
      </c>
      <c r="AC11" s="8" t="s">
        <v>1071</v>
      </c>
      <c r="AD11" s="22">
        <v>43922.333333333336</v>
      </c>
      <c r="AE11" s="8">
        <v>175</v>
      </c>
      <c r="AF11" s="8">
        <v>7.5</v>
      </c>
      <c r="AG11" s="8" t="s">
        <v>1036</v>
      </c>
      <c r="AH11" s="8" t="s">
        <v>1032</v>
      </c>
      <c r="AI11" s="11">
        <v>1.44</v>
      </c>
      <c r="AJ11" s="11">
        <v>0</v>
      </c>
      <c r="AK11" s="11">
        <v>67.268900000000016</v>
      </c>
      <c r="AL11" s="11">
        <v>72.194790079744067</v>
      </c>
      <c r="AM11" s="11">
        <v>51.556399999999996</v>
      </c>
      <c r="AN11" s="8" t="s">
        <v>1032</v>
      </c>
      <c r="AO11" s="8" t="s">
        <v>1047</v>
      </c>
    </row>
    <row r="12" spans="1:41" x14ac:dyDescent="0.25">
      <c r="B12" s="31" t="s">
        <v>11</v>
      </c>
      <c r="C12" t="s">
        <v>47</v>
      </c>
      <c r="D12" t="s">
        <v>12</v>
      </c>
      <c r="E12" t="s">
        <v>14</v>
      </c>
      <c r="F12">
        <v>2</v>
      </c>
      <c r="G12">
        <v>301.5</v>
      </c>
      <c r="H12">
        <v>601.20000000000005</v>
      </c>
      <c r="I12">
        <v>50.1</v>
      </c>
      <c r="L12">
        <f t="shared" si="0"/>
        <v>0</v>
      </c>
      <c r="M12">
        <f t="shared" si="1"/>
        <v>0</v>
      </c>
      <c r="N12">
        <f t="shared" si="2"/>
        <v>0</v>
      </c>
      <c r="O12">
        <f t="shared" si="3"/>
        <v>0</v>
      </c>
      <c r="P12">
        <f t="shared" si="4"/>
        <v>0</v>
      </c>
      <c r="Q12">
        <f t="shared" si="12"/>
        <v>0</v>
      </c>
      <c r="R12">
        <f t="shared" si="6"/>
        <v>0</v>
      </c>
      <c r="S12">
        <f t="shared" si="7"/>
        <v>0</v>
      </c>
      <c r="T12">
        <f t="shared" si="8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 t="s">
        <v>48</v>
      </c>
      <c r="Y12" t="s">
        <v>49</v>
      </c>
      <c r="Z12" s="4">
        <v>0.43958333333333333</v>
      </c>
      <c r="AA12" t="s">
        <v>28</v>
      </c>
      <c r="AB12">
        <v>18</v>
      </c>
      <c r="AC12" s="8" t="s">
        <v>1071</v>
      </c>
      <c r="AD12" s="22">
        <v>43922.333333333336</v>
      </c>
      <c r="AE12" s="8">
        <v>175</v>
      </c>
      <c r="AF12" s="8">
        <v>7.5</v>
      </c>
      <c r="AG12" s="8" t="s">
        <v>1036</v>
      </c>
      <c r="AH12" s="8" t="s">
        <v>1032</v>
      </c>
      <c r="AI12" s="11">
        <v>1.44</v>
      </c>
      <c r="AJ12" s="11">
        <v>0</v>
      </c>
      <c r="AK12" s="11">
        <v>67.268900000000016</v>
      </c>
      <c r="AL12" s="11">
        <v>72.194790079744067</v>
      </c>
      <c r="AM12" s="11">
        <v>51.556399999999996</v>
      </c>
      <c r="AN12" s="8" t="s">
        <v>1032</v>
      </c>
      <c r="AO12" s="8" t="s">
        <v>1047</v>
      </c>
    </row>
    <row r="13" spans="1:41" x14ac:dyDescent="0.25">
      <c r="A13" s="2"/>
      <c r="B13" s="32" t="s">
        <v>11</v>
      </c>
      <c r="C13" s="2" t="s">
        <v>50</v>
      </c>
      <c r="D13" s="2" t="s">
        <v>12</v>
      </c>
      <c r="E13" s="2" t="s">
        <v>14</v>
      </c>
      <c r="F13" s="2">
        <v>2</v>
      </c>
      <c r="G13" s="2">
        <v>315</v>
      </c>
      <c r="H13" s="2">
        <v>600.1</v>
      </c>
      <c r="I13" s="2">
        <v>52.5</v>
      </c>
      <c r="J13" s="2"/>
      <c r="K13" s="2"/>
      <c r="L13" s="2">
        <f t="shared" si="0"/>
        <v>0</v>
      </c>
      <c r="M13" s="2">
        <f t="shared" si="1"/>
        <v>0</v>
      </c>
      <c r="N13" s="2">
        <f t="shared" si="2"/>
        <v>0</v>
      </c>
      <c r="O13" s="2">
        <f t="shared" si="3"/>
        <v>0</v>
      </c>
      <c r="P13" s="2">
        <f t="shared" si="4"/>
        <v>0</v>
      </c>
      <c r="Q13" s="2">
        <f t="shared" si="12"/>
        <v>0</v>
      </c>
      <c r="R13" s="2">
        <f t="shared" si="6"/>
        <v>0</v>
      </c>
      <c r="S13" s="2">
        <f t="shared" si="7"/>
        <v>0</v>
      </c>
      <c r="T13" s="2">
        <f t="shared" si="8"/>
        <v>0</v>
      </c>
      <c r="U13" s="2">
        <f t="shared" si="9"/>
        <v>0</v>
      </c>
      <c r="V13" s="2">
        <f t="shared" si="10"/>
        <v>0</v>
      </c>
      <c r="W13" s="2">
        <f t="shared" si="11"/>
        <v>0</v>
      </c>
      <c r="X13" s="2" t="s">
        <v>51</v>
      </c>
      <c r="Y13" s="2" t="s">
        <v>52</v>
      </c>
      <c r="Z13" s="5">
        <v>0.44027777777777777</v>
      </c>
      <c r="AA13" s="2" t="s">
        <v>21</v>
      </c>
      <c r="AB13" s="2">
        <v>18</v>
      </c>
      <c r="AC13" s="9" t="s">
        <v>1071</v>
      </c>
      <c r="AD13" s="23">
        <v>43922.333333333336</v>
      </c>
      <c r="AE13" s="9">
        <v>175</v>
      </c>
      <c r="AF13" s="9">
        <v>7.5</v>
      </c>
      <c r="AG13" s="9" t="s">
        <v>1036</v>
      </c>
      <c r="AH13" s="9" t="s">
        <v>1032</v>
      </c>
      <c r="AI13" s="19">
        <v>1.44</v>
      </c>
      <c r="AJ13" s="19">
        <v>0</v>
      </c>
      <c r="AK13" s="19">
        <v>67.268900000000016</v>
      </c>
      <c r="AL13" s="19">
        <v>72.194790079744067</v>
      </c>
      <c r="AM13" s="19">
        <v>51.556399999999996</v>
      </c>
      <c r="AN13" s="9" t="s">
        <v>1032</v>
      </c>
      <c r="AO13" s="9" t="s">
        <v>1047</v>
      </c>
    </row>
    <row r="14" spans="1:41" ht="15.75" x14ac:dyDescent="0.25">
      <c r="A14" s="7">
        <v>44179</v>
      </c>
      <c r="B14" t="s">
        <v>53</v>
      </c>
      <c r="C14" t="s">
        <v>54</v>
      </c>
      <c r="D14" t="s">
        <v>12</v>
      </c>
      <c r="E14" t="s">
        <v>14</v>
      </c>
      <c r="F14">
        <v>2</v>
      </c>
      <c r="G14">
        <v>305.5</v>
      </c>
      <c r="H14">
        <v>563.5</v>
      </c>
      <c r="I14">
        <v>54.2</v>
      </c>
      <c r="L14">
        <f t="shared" ref="L14:L52" si="13">M14+N14+O14+P14+Q14+R14+T14+U14+V14+W14</f>
        <v>0</v>
      </c>
      <c r="M14">
        <f t="shared" ref="M14:M77" si="14">IF(K14="Arthritis", 1, 0)</f>
        <v>0</v>
      </c>
      <c r="N14">
        <f t="shared" si="2"/>
        <v>0</v>
      </c>
      <c r="O14">
        <f t="shared" si="3"/>
        <v>0</v>
      </c>
      <c r="P14">
        <f t="shared" si="4"/>
        <v>0</v>
      </c>
      <c r="Q14">
        <f t="shared" si="12"/>
        <v>0</v>
      </c>
      <c r="R14">
        <f>IF(K14="SRM", 1, 0)</f>
        <v>0</v>
      </c>
      <c r="S14">
        <f t="shared" si="7"/>
        <v>0</v>
      </c>
      <c r="T14">
        <f t="shared" si="8"/>
        <v>0</v>
      </c>
      <c r="U14">
        <f>IF(K14="Pyogenic", 1, 0)</f>
        <v>0</v>
      </c>
      <c r="V14">
        <f t="shared" ref="V14:V52" si="15">IF(K14="Peritonitis", 1, 0)</f>
        <v>0</v>
      </c>
      <c r="W14">
        <f t="shared" ref="W14:W77" si="16">IF(K14="Other", 1, 0)</f>
        <v>0</v>
      </c>
      <c r="X14" t="s">
        <v>55</v>
      </c>
      <c r="Y14" t="s">
        <v>56</v>
      </c>
      <c r="Z14" s="3" t="s">
        <v>57</v>
      </c>
      <c r="AA14" t="s">
        <v>58</v>
      </c>
      <c r="AB14">
        <v>23</v>
      </c>
      <c r="AC14" s="8" t="s">
        <v>1071</v>
      </c>
      <c r="AD14" s="8"/>
      <c r="AE14" s="8">
        <v>175</v>
      </c>
      <c r="AF14" s="8"/>
      <c r="AG14" s="8" t="s">
        <v>1036</v>
      </c>
      <c r="AH14" s="8" t="s">
        <v>1032</v>
      </c>
      <c r="AI14" s="11">
        <v>0.01</v>
      </c>
      <c r="AJ14" s="11">
        <v>0</v>
      </c>
      <c r="AK14" s="11">
        <v>65.009480000000011</v>
      </c>
      <c r="AL14" s="11">
        <v>56.710646170044178</v>
      </c>
      <c r="AM14" s="18">
        <v>41.825799999999994</v>
      </c>
      <c r="AN14" s="8" t="s">
        <v>1032</v>
      </c>
      <c r="AO14" s="8" t="s">
        <v>1047</v>
      </c>
    </row>
    <row r="15" spans="1:41" x14ac:dyDescent="0.25">
      <c r="B15" t="s">
        <v>53</v>
      </c>
      <c r="C15" t="s">
        <v>59</v>
      </c>
      <c r="D15" t="s">
        <v>12</v>
      </c>
      <c r="E15" t="s">
        <v>14</v>
      </c>
      <c r="F15">
        <v>2</v>
      </c>
      <c r="G15">
        <v>288.5</v>
      </c>
      <c r="H15">
        <v>560.6</v>
      </c>
      <c r="I15">
        <v>51.5</v>
      </c>
      <c r="L15">
        <f t="shared" si="13"/>
        <v>0</v>
      </c>
      <c r="M15">
        <f t="shared" si="14"/>
        <v>0</v>
      </c>
      <c r="N15">
        <f t="shared" si="2"/>
        <v>0</v>
      </c>
      <c r="O15">
        <f t="shared" si="3"/>
        <v>0</v>
      </c>
      <c r="P15">
        <f t="shared" si="4"/>
        <v>0</v>
      </c>
      <c r="Q15">
        <f t="shared" si="12"/>
        <v>0</v>
      </c>
      <c r="R15">
        <f t="shared" ref="R15:R78" si="17">IF(K15="SRM", 1, 0)</f>
        <v>0</v>
      </c>
      <c r="S15">
        <f t="shared" si="7"/>
        <v>0</v>
      </c>
      <c r="T15">
        <f t="shared" si="8"/>
        <v>0</v>
      </c>
      <c r="U15">
        <f t="shared" ref="U15:U78" si="18">IF(K15="Pyogenic", 1, 0)</f>
        <v>0</v>
      </c>
      <c r="V15">
        <f t="shared" si="15"/>
        <v>0</v>
      </c>
      <c r="W15">
        <f t="shared" si="16"/>
        <v>0</v>
      </c>
      <c r="X15" t="s">
        <v>60</v>
      </c>
      <c r="Y15" t="s">
        <v>61</v>
      </c>
      <c r="Z15" s="3" t="s">
        <v>57</v>
      </c>
      <c r="AA15" t="s">
        <v>58</v>
      </c>
      <c r="AB15">
        <v>23</v>
      </c>
      <c r="AC15" s="8" t="s">
        <v>1071</v>
      </c>
      <c r="AD15" s="8"/>
      <c r="AE15" s="8">
        <v>175</v>
      </c>
      <c r="AF15" s="8"/>
      <c r="AG15" s="8" t="s">
        <v>1036</v>
      </c>
      <c r="AH15" s="8" t="s">
        <v>1032</v>
      </c>
      <c r="AI15" s="11">
        <v>0.01</v>
      </c>
      <c r="AJ15" s="11">
        <v>0</v>
      </c>
      <c r="AK15" s="11">
        <v>65.009480000000011</v>
      </c>
      <c r="AL15" s="11">
        <v>56.710646170044178</v>
      </c>
      <c r="AM15" s="18">
        <v>41.825799999999994</v>
      </c>
      <c r="AN15" s="8" t="s">
        <v>1032</v>
      </c>
      <c r="AO15" s="8" t="s">
        <v>1047</v>
      </c>
    </row>
    <row r="16" spans="1:41" x14ac:dyDescent="0.25">
      <c r="B16" t="s">
        <v>53</v>
      </c>
      <c r="C16" t="s">
        <v>62</v>
      </c>
      <c r="D16" t="s">
        <v>12</v>
      </c>
      <c r="E16" t="s">
        <v>14</v>
      </c>
      <c r="F16">
        <v>2</v>
      </c>
      <c r="G16">
        <v>318.5</v>
      </c>
      <c r="H16">
        <v>581.9</v>
      </c>
      <c r="I16">
        <v>54.7</v>
      </c>
      <c r="L16">
        <f t="shared" si="13"/>
        <v>0</v>
      </c>
      <c r="M16">
        <f t="shared" si="14"/>
        <v>0</v>
      </c>
      <c r="N16">
        <f t="shared" si="2"/>
        <v>0</v>
      </c>
      <c r="O16">
        <f t="shared" si="3"/>
        <v>0</v>
      </c>
      <c r="P16">
        <f t="shared" si="4"/>
        <v>0</v>
      </c>
      <c r="Q16">
        <f t="shared" si="12"/>
        <v>0</v>
      </c>
      <c r="R16">
        <f t="shared" si="17"/>
        <v>0</v>
      </c>
      <c r="S16">
        <f t="shared" si="7"/>
        <v>0</v>
      </c>
      <c r="T16">
        <f t="shared" si="8"/>
        <v>0</v>
      </c>
      <c r="U16">
        <f t="shared" si="18"/>
        <v>0</v>
      </c>
      <c r="V16">
        <f t="shared" si="15"/>
        <v>0</v>
      </c>
      <c r="W16">
        <f t="shared" si="16"/>
        <v>0</v>
      </c>
      <c r="X16" t="s">
        <v>63</v>
      </c>
      <c r="Y16" t="s">
        <v>64</v>
      </c>
      <c r="Z16" s="3" t="s">
        <v>65</v>
      </c>
      <c r="AA16" t="s">
        <v>66</v>
      </c>
      <c r="AB16">
        <v>23</v>
      </c>
      <c r="AC16" s="8" t="s">
        <v>1071</v>
      </c>
      <c r="AD16" s="8"/>
      <c r="AE16" s="8">
        <v>175</v>
      </c>
      <c r="AF16" s="8"/>
      <c r="AG16" s="8" t="s">
        <v>1036</v>
      </c>
      <c r="AH16" s="8" t="s">
        <v>1032</v>
      </c>
      <c r="AI16" s="11">
        <v>0.01</v>
      </c>
      <c r="AJ16" s="11">
        <v>0</v>
      </c>
      <c r="AK16" s="11">
        <v>65.009480000000011</v>
      </c>
      <c r="AL16" s="11">
        <v>56.710646170044178</v>
      </c>
      <c r="AM16" s="18">
        <v>41.825799999999994</v>
      </c>
      <c r="AN16" s="8" t="s">
        <v>1032</v>
      </c>
      <c r="AO16" s="8" t="s">
        <v>1047</v>
      </c>
    </row>
    <row r="17" spans="2:41" x14ac:dyDescent="0.25">
      <c r="B17" t="s">
        <v>53</v>
      </c>
      <c r="C17" t="s">
        <v>67</v>
      </c>
      <c r="D17" t="s">
        <v>12</v>
      </c>
      <c r="E17" t="s">
        <v>14</v>
      </c>
      <c r="F17">
        <v>2</v>
      </c>
      <c r="G17">
        <v>356</v>
      </c>
      <c r="H17">
        <v>675.2</v>
      </c>
      <c r="I17">
        <v>52.7</v>
      </c>
      <c r="L17">
        <f t="shared" si="13"/>
        <v>0</v>
      </c>
      <c r="M17">
        <f t="shared" si="14"/>
        <v>0</v>
      </c>
      <c r="N17">
        <f t="shared" si="2"/>
        <v>0</v>
      </c>
      <c r="O17">
        <f t="shared" si="3"/>
        <v>0</v>
      </c>
      <c r="P17">
        <f t="shared" si="4"/>
        <v>0</v>
      </c>
      <c r="Q17">
        <f t="shared" si="12"/>
        <v>0</v>
      </c>
      <c r="R17">
        <f t="shared" si="17"/>
        <v>0</v>
      </c>
      <c r="S17">
        <f t="shared" si="7"/>
        <v>0</v>
      </c>
      <c r="T17">
        <f t="shared" si="8"/>
        <v>0</v>
      </c>
      <c r="U17">
        <f t="shared" si="18"/>
        <v>0</v>
      </c>
      <c r="V17">
        <f t="shared" si="15"/>
        <v>0</v>
      </c>
      <c r="W17">
        <f t="shared" si="16"/>
        <v>0</v>
      </c>
      <c r="X17" t="s">
        <v>68</v>
      </c>
      <c r="Y17" t="s">
        <v>69</v>
      </c>
      <c r="Z17" s="3" t="s">
        <v>70</v>
      </c>
      <c r="AA17" t="s">
        <v>71</v>
      </c>
      <c r="AB17">
        <v>23</v>
      </c>
      <c r="AC17" s="8" t="s">
        <v>1071</v>
      </c>
      <c r="AD17" s="8"/>
      <c r="AE17" s="8">
        <v>175</v>
      </c>
      <c r="AF17" s="8"/>
      <c r="AG17" s="8" t="s">
        <v>1036</v>
      </c>
      <c r="AH17" s="8" t="s">
        <v>1032</v>
      </c>
      <c r="AI17" s="11">
        <v>0.01</v>
      </c>
      <c r="AJ17" s="11">
        <v>0</v>
      </c>
      <c r="AK17" s="11">
        <v>65.009480000000011</v>
      </c>
      <c r="AL17" s="11">
        <v>56.710646170044178</v>
      </c>
      <c r="AM17" s="18">
        <v>41.825799999999994</v>
      </c>
      <c r="AN17" s="8" t="s">
        <v>1032</v>
      </c>
      <c r="AO17" s="8" t="s">
        <v>1047</v>
      </c>
    </row>
    <row r="18" spans="2:41" x14ac:dyDescent="0.25">
      <c r="B18" t="s">
        <v>53</v>
      </c>
      <c r="C18" t="s">
        <v>72</v>
      </c>
      <c r="D18" t="s">
        <v>12</v>
      </c>
      <c r="E18" t="s">
        <v>14</v>
      </c>
      <c r="F18">
        <v>2</v>
      </c>
      <c r="G18">
        <v>300</v>
      </c>
      <c r="H18">
        <v>570.70000000000005</v>
      </c>
      <c r="I18">
        <v>52.6</v>
      </c>
      <c r="L18">
        <f t="shared" si="13"/>
        <v>0</v>
      </c>
      <c r="M18">
        <f t="shared" si="14"/>
        <v>0</v>
      </c>
      <c r="N18">
        <f t="shared" si="2"/>
        <v>0</v>
      </c>
      <c r="O18">
        <f t="shared" si="3"/>
        <v>0</v>
      </c>
      <c r="P18">
        <f t="shared" si="4"/>
        <v>0</v>
      </c>
      <c r="Q18">
        <f t="shared" si="12"/>
        <v>0</v>
      </c>
      <c r="R18">
        <f t="shared" si="17"/>
        <v>0</v>
      </c>
      <c r="S18">
        <f t="shared" si="7"/>
        <v>0</v>
      </c>
      <c r="T18">
        <f t="shared" si="8"/>
        <v>0</v>
      </c>
      <c r="U18">
        <f t="shared" si="18"/>
        <v>0</v>
      </c>
      <c r="V18">
        <f t="shared" si="15"/>
        <v>0</v>
      </c>
      <c r="W18">
        <f t="shared" si="16"/>
        <v>0</v>
      </c>
      <c r="X18" t="s">
        <v>73</v>
      </c>
      <c r="Y18" t="s">
        <v>74</v>
      </c>
      <c r="Z18" s="3" t="s">
        <v>75</v>
      </c>
      <c r="AA18" t="s">
        <v>76</v>
      </c>
      <c r="AB18">
        <v>23</v>
      </c>
      <c r="AC18" s="8" t="s">
        <v>1071</v>
      </c>
      <c r="AD18" s="8"/>
      <c r="AE18" s="8">
        <v>175</v>
      </c>
      <c r="AF18" s="8"/>
      <c r="AG18" s="8" t="s">
        <v>1036</v>
      </c>
      <c r="AH18" s="8" t="s">
        <v>1032</v>
      </c>
      <c r="AI18" s="11">
        <v>0.01</v>
      </c>
      <c r="AJ18" s="11">
        <v>0</v>
      </c>
      <c r="AK18" s="11">
        <v>65.009480000000011</v>
      </c>
      <c r="AL18" s="11">
        <v>56.710646170044178</v>
      </c>
      <c r="AM18" s="18">
        <v>41.825799999999994</v>
      </c>
      <c r="AN18" s="8" t="s">
        <v>1032</v>
      </c>
      <c r="AO18" s="8" t="s">
        <v>1047</v>
      </c>
    </row>
    <row r="19" spans="2:41" x14ac:dyDescent="0.25">
      <c r="B19" t="s">
        <v>53</v>
      </c>
      <c r="C19" t="s">
        <v>77</v>
      </c>
      <c r="D19" t="s">
        <v>12</v>
      </c>
      <c r="E19" t="s">
        <v>14</v>
      </c>
      <c r="F19">
        <v>2</v>
      </c>
      <c r="G19">
        <v>321</v>
      </c>
      <c r="H19">
        <v>625.70000000000005</v>
      </c>
      <c r="I19">
        <v>51.3</v>
      </c>
      <c r="L19">
        <f t="shared" si="13"/>
        <v>0</v>
      </c>
      <c r="M19">
        <f t="shared" si="14"/>
        <v>0</v>
      </c>
      <c r="N19">
        <f t="shared" si="2"/>
        <v>0</v>
      </c>
      <c r="O19">
        <f t="shared" si="3"/>
        <v>0</v>
      </c>
      <c r="P19">
        <f t="shared" si="4"/>
        <v>0</v>
      </c>
      <c r="Q19">
        <f t="shared" si="12"/>
        <v>0</v>
      </c>
      <c r="R19">
        <f t="shared" si="17"/>
        <v>0</v>
      </c>
      <c r="S19">
        <f t="shared" si="7"/>
        <v>0</v>
      </c>
      <c r="T19">
        <f t="shared" si="8"/>
        <v>0</v>
      </c>
      <c r="U19">
        <f t="shared" si="18"/>
        <v>0</v>
      </c>
      <c r="V19">
        <f t="shared" si="15"/>
        <v>0</v>
      </c>
      <c r="W19">
        <f t="shared" si="16"/>
        <v>0</v>
      </c>
      <c r="X19" t="s">
        <v>78</v>
      </c>
      <c r="Y19" t="s">
        <v>74</v>
      </c>
      <c r="Z19" s="3" t="s">
        <v>79</v>
      </c>
      <c r="AA19" t="s">
        <v>80</v>
      </c>
      <c r="AB19">
        <v>23</v>
      </c>
      <c r="AC19" s="8" t="s">
        <v>1071</v>
      </c>
      <c r="AD19" s="8"/>
      <c r="AE19" s="8">
        <v>175</v>
      </c>
      <c r="AF19" s="8"/>
      <c r="AG19" s="8" t="s">
        <v>1036</v>
      </c>
      <c r="AH19" s="8" t="s">
        <v>1032</v>
      </c>
      <c r="AI19" s="11">
        <v>0.01</v>
      </c>
      <c r="AJ19" s="11">
        <v>0</v>
      </c>
      <c r="AK19" s="11">
        <v>65.009480000000011</v>
      </c>
      <c r="AL19" s="11">
        <v>56.710646170044178</v>
      </c>
      <c r="AM19" s="18">
        <v>41.825799999999994</v>
      </c>
      <c r="AN19" s="8" t="s">
        <v>1032</v>
      </c>
      <c r="AO19" s="8" t="s">
        <v>1047</v>
      </c>
    </row>
    <row r="20" spans="2:41" x14ac:dyDescent="0.25">
      <c r="B20" t="s">
        <v>53</v>
      </c>
      <c r="C20" t="s">
        <v>81</v>
      </c>
      <c r="D20" t="s">
        <v>12</v>
      </c>
      <c r="E20" t="s">
        <v>14</v>
      </c>
      <c r="F20">
        <v>2</v>
      </c>
      <c r="G20">
        <v>330.5</v>
      </c>
      <c r="H20">
        <v>598.79999999999995</v>
      </c>
      <c r="I20">
        <v>55.2</v>
      </c>
      <c r="L20">
        <f t="shared" si="13"/>
        <v>0</v>
      </c>
      <c r="M20">
        <f t="shared" si="14"/>
        <v>0</v>
      </c>
      <c r="N20">
        <f t="shared" si="2"/>
        <v>0</v>
      </c>
      <c r="O20">
        <f t="shared" si="3"/>
        <v>0</v>
      </c>
      <c r="P20">
        <f t="shared" si="4"/>
        <v>0</v>
      </c>
      <c r="Q20">
        <f t="shared" si="12"/>
        <v>0</v>
      </c>
      <c r="R20">
        <f t="shared" si="17"/>
        <v>0</v>
      </c>
      <c r="S20">
        <f t="shared" si="7"/>
        <v>0</v>
      </c>
      <c r="T20">
        <f t="shared" si="8"/>
        <v>0</v>
      </c>
      <c r="U20">
        <f t="shared" si="18"/>
        <v>0</v>
      </c>
      <c r="V20">
        <f t="shared" si="15"/>
        <v>0</v>
      </c>
      <c r="W20">
        <f t="shared" si="16"/>
        <v>0</v>
      </c>
      <c r="X20" t="s">
        <v>82</v>
      </c>
      <c r="Y20" t="s">
        <v>83</v>
      </c>
      <c r="Z20" s="3" t="s">
        <v>84</v>
      </c>
      <c r="AA20" t="s">
        <v>66</v>
      </c>
      <c r="AB20">
        <v>23</v>
      </c>
      <c r="AC20" s="8" t="s">
        <v>1071</v>
      </c>
      <c r="AD20" s="8"/>
      <c r="AE20" s="8">
        <v>175</v>
      </c>
      <c r="AF20" s="8"/>
      <c r="AG20" s="8" t="s">
        <v>1036</v>
      </c>
      <c r="AH20" s="8" t="s">
        <v>1032</v>
      </c>
      <c r="AI20" s="11">
        <v>0.01</v>
      </c>
      <c r="AJ20" s="11">
        <v>0</v>
      </c>
      <c r="AK20" s="11">
        <v>65.009480000000011</v>
      </c>
      <c r="AL20" s="11">
        <v>56.710646170044178</v>
      </c>
      <c r="AM20" s="18">
        <v>41.825799999999994</v>
      </c>
      <c r="AN20" s="8" t="s">
        <v>1032</v>
      </c>
      <c r="AO20" s="8" t="s">
        <v>1047</v>
      </c>
    </row>
    <row r="21" spans="2:41" x14ac:dyDescent="0.25">
      <c r="B21" t="s">
        <v>53</v>
      </c>
      <c r="C21" t="s">
        <v>85</v>
      </c>
      <c r="D21" t="s">
        <v>12</v>
      </c>
      <c r="E21" t="s">
        <v>14</v>
      </c>
      <c r="F21">
        <v>2</v>
      </c>
      <c r="G21">
        <v>275.5</v>
      </c>
      <c r="H21">
        <v>540.5</v>
      </c>
      <c r="I21">
        <v>51</v>
      </c>
      <c r="K21" t="s">
        <v>86</v>
      </c>
      <c r="L21">
        <f t="shared" si="13"/>
        <v>1</v>
      </c>
      <c r="M21">
        <f t="shared" si="14"/>
        <v>0</v>
      </c>
      <c r="N21">
        <f t="shared" si="2"/>
        <v>0</v>
      </c>
      <c r="O21">
        <f t="shared" si="3"/>
        <v>1</v>
      </c>
      <c r="P21">
        <f t="shared" si="4"/>
        <v>0</v>
      </c>
      <c r="Q21">
        <f t="shared" si="12"/>
        <v>0</v>
      </c>
      <c r="R21">
        <f t="shared" si="17"/>
        <v>0</v>
      </c>
      <c r="S21">
        <f t="shared" si="7"/>
        <v>0</v>
      </c>
      <c r="T21">
        <f t="shared" si="8"/>
        <v>0</v>
      </c>
      <c r="U21">
        <f t="shared" si="18"/>
        <v>0</v>
      </c>
      <c r="V21">
        <f t="shared" si="15"/>
        <v>0</v>
      </c>
      <c r="W21">
        <f>IF(K21="Other", 1, 0)</f>
        <v>0</v>
      </c>
      <c r="X21" t="s">
        <v>87</v>
      </c>
      <c r="Y21" t="s">
        <v>88</v>
      </c>
      <c r="Z21" s="3" t="s">
        <v>89</v>
      </c>
      <c r="AA21" t="s">
        <v>71</v>
      </c>
      <c r="AB21">
        <v>23</v>
      </c>
      <c r="AC21" s="8" t="s">
        <v>1071</v>
      </c>
      <c r="AD21" s="8"/>
      <c r="AE21" s="8">
        <v>175</v>
      </c>
      <c r="AF21" s="8"/>
      <c r="AG21" s="8" t="s">
        <v>1036</v>
      </c>
      <c r="AH21" s="8" t="s">
        <v>1032</v>
      </c>
      <c r="AI21" s="11">
        <v>0.01</v>
      </c>
      <c r="AJ21" s="11">
        <v>0</v>
      </c>
      <c r="AK21" s="11">
        <v>65.009480000000011</v>
      </c>
      <c r="AL21" s="11">
        <v>56.710646170044178</v>
      </c>
      <c r="AM21" s="18">
        <v>41.825799999999994</v>
      </c>
      <c r="AN21" s="8" t="s">
        <v>1032</v>
      </c>
      <c r="AO21" s="8" t="s">
        <v>1047</v>
      </c>
    </row>
    <row r="22" spans="2:41" x14ac:dyDescent="0.25">
      <c r="B22" t="s">
        <v>53</v>
      </c>
      <c r="C22" t="s">
        <v>90</v>
      </c>
      <c r="D22" t="s">
        <v>12</v>
      </c>
      <c r="E22" t="s">
        <v>14</v>
      </c>
      <c r="F22">
        <v>2</v>
      </c>
      <c r="G22">
        <v>309.5</v>
      </c>
      <c r="H22">
        <v>564.6</v>
      </c>
      <c r="I22">
        <v>54.8</v>
      </c>
      <c r="L22">
        <f t="shared" si="13"/>
        <v>0</v>
      </c>
      <c r="M22">
        <f t="shared" si="14"/>
        <v>0</v>
      </c>
      <c r="N22">
        <f t="shared" ref="N22:N85" si="19">IF(K22="cirrhosis", 1, 0)</f>
        <v>0</v>
      </c>
      <c r="O22">
        <f t="shared" ref="O22:O85" si="20">IF(K22="bruised", 1, 0)</f>
        <v>0</v>
      </c>
      <c r="P22">
        <f t="shared" ref="P22:P85" si="21">IF(K22="inoculation", 1, 0)</f>
        <v>0</v>
      </c>
      <c r="Q22">
        <f t="shared" ref="Q22:Q85" si="22">IF(K22="Pleurisy", 1, 0)</f>
        <v>0</v>
      </c>
      <c r="R22">
        <f t="shared" si="17"/>
        <v>0</v>
      </c>
      <c r="S22">
        <f t="shared" si="7"/>
        <v>0</v>
      </c>
      <c r="T22">
        <f t="shared" ref="T22:T85" si="23">IF(J22="Condemned", 1, 0)</f>
        <v>0</v>
      </c>
      <c r="U22">
        <f t="shared" si="18"/>
        <v>0</v>
      </c>
      <c r="V22">
        <f t="shared" si="15"/>
        <v>0</v>
      </c>
      <c r="W22">
        <f t="shared" si="16"/>
        <v>0</v>
      </c>
      <c r="X22" t="s">
        <v>91</v>
      </c>
      <c r="Y22" t="s">
        <v>92</v>
      </c>
      <c r="Z22" s="3" t="s">
        <v>93</v>
      </c>
      <c r="AA22" t="s">
        <v>76</v>
      </c>
      <c r="AB22">
        <v>23</v>
      </c>
      <c r="AC22" s="8" t="s">
        <v>1071</v>
      </c>
      <c r="AD22" s="8"/>
      <c r="AE22" s="8">
        <v>175</v>
      </c>
      <c r="AF22" s="8"/>
      <c r="AG22" s="8" t="s">
        <v>1036</v>
      </c>
      <c r="AH22" s="8" t="s">
        <v>1032</v>
      </c>
      <c r="AI22" s="11">
        <v>0.01</v>
      </c>
      <c r="AJ22" s="11">
        <v>0</v>
      </c>
      <c r="AK22" s="11">
        <v>65.009480000000011</v>
      </c>
      <c r="AL22" s="11">
        <v>56.710646170044178</v>
      </c>
      <c r="AM22" s="18">
        <v>41.825799999999994</v>
      </c>
      <c r="AN22" s="8" t="s">
        <v>1032</v>
      </c>
      <c r="AO22" s="8" t="s">
        <v>1047</v>
      </c>
    </row>
    <row r="23" spans="2:41" x14ac:dyDescent="0.25">
      <c r="B23" t="s">
        <v>53</v>
      </c>
      <c r="C23" t="s">
        <v>94</v>
      </c>
      <c r="D23" t="s">
        <v>12</v>
      </c>
      <c r="E23" t="s">
        <v>14</v>
      </c>
      <c r="F23">
        <v>2</v>
      </c>
      <c r="G23">
        <v>350.5</v>
      </c>
      <c r="H23">
        <v>652.70000000000005</v>
      </c>
      <c r="I23">
        <v>53.7</v>
      </c>
      <c r="L23">
        <f t="shared" si="13"/>
        <v>0</v>
      </c>
      <c r="M23">
        <f t="shared" si="14"/>
        <v>0</v>
      </c>
      <c r="N23">
        <f t="shared" si="19"/>
        <v>0</v>
      </c>
      <c r="O23">
        <f t="shared" si="20"/>
        <v>0</v>
      </c>
      <c r="P23">
        <f t="shared" si="21"/>
        <v>0</v>
      </c>
      <c r="Q23">
        <f t="shared" si="22"/>
        <v>0</v>
      </c>
      <c r="R23">
        <f t="shared" si="17"/>
        <v>0</v>
      </c>
      <c r="S23">
        <f t="shared" si="7"/>
        <v>0</v>
      </c>
      <c r="T23">
        <f t="shared" si="23"/>
        <v>0</v>
      </c>
      <c r="U23">
        <f t="shared" si="18"/>
        <v>0</v>
      </c>
      <c r="V23">
        <f t="shared" si="15"/>
        <v>0</v>
      </c>
      <c r="W23">
        <f t="shared" si="16"/>
        <v>0</v>
      </c>
      <c r="X23" t="s">
        <v>95</v>
      </c>
      <c r="Y23" t="s">
        <v>96</v>
      </c>
      <c r="Z23" s="3" t="s">
        <v>97</v>
      </c>
      <c r="AA23" t="s">
        <v>58</v>
      </c>
      <c r="AB23">
        <v>23</v>
      </c>
      <c r="AC23" s="8" t="s">
        <v>1071</v>
      </c>
      <c r="AD23" s="8"/>
      <c r="AE23" s="8">
        <v>175</v>
      </c>
      <c r="AF23" s="8"/>
      <c r="AG23" s="8" t="s">
        <v>1036</v>
      </c>
      <c r="AH23" s="8" t="s">
        <v>1032</v>
      </c>
      <c r="AI23" s="11">
        <v>0.01</v>
      </c>
      <c r="AJ23" s="11">
        <v>0</v>
      </c>
      <c r="AK23" s="11">
        <v>65.009480000000011</v>
      </c>
      <c r="AL23" s="11">
        <v>56.710646170044178</v>
      </c>
      <c r="AM23" s="18">
        <v>41.825799999999994</v>
      </c>
      <c r="AN23" s="8" t="s">
        <v>1032</v>
      </c>
      <c r="AO23" s="8" t="s">
        <v>1047</v>
      </c>
    </row>
    <row r="24" spans="2:41" x14ac:dyDescent="0.25">
      <c r="B24" t="s">
        <v>53</v>
      </c>
      <c r="C24" t="s">
        <v>98</v>
      </c>
      <c r="D24" t="s">
        <v>12</v>
      </c>
      <c r="E24" t="s">
        <v>14</v>
      </c>
      <c r="F24">
        <v>2</v>
      </c>
      <c r="G24">
        <v>322</v>
      </c>
      <c r="H24">
        <v>627.5</v>
      </c>
      <c r="I24">
        <v>51.3</v>
      </c>
      <c r="L24">
        <f t="shared" si="13"/>
        <v>0</v>
      </c>
      <c r="M24">
        <f t="shared" si="14"/>
        <v>0</v>
      </c>
      <c r="N24">
        <f t="shared" si="19"/>
        <v>0</v>
      </c>
      <c r="O24">
        <f t="shared" si="20"/>
        <v>0</v>
      </c>
      <c r="P24">
        <f t="shared" si="21"/>
        <v>0</v>
      </c>
      <c r="Q24">
        <f t="shared" si="22"/>
        <v>0</v>
      </c>
      <c r="R24">
        <f t="shared" si="17"/>
        <v>0</v>
      </c>
      <c r="S24">
        <f t="shared" si="7"/>
        <v>0</v>
      </c>
      <c r="T24">
        <f t="shared" si="23"/>
        <v>0</v>
      </c>
      <c r="U24">
        <f t="shared" si="18"/>
        <v>0</v>
      </c>
      <c r="V24">
        <f t="shared" si="15"/>
        <v>0</v>
      </c>
      <c r="W24">
        <f t="shared" si="16"/>
        <v>0</v>
      </c>
      <c r="X24" t="s">
        <v>99</v>
      </c>
      <c r="Y24" t="s">
        <v>100</v>
      </c>
      <c r="Z24" s="3" t="s">
        <v>101</v>
      </c>
      <c r="AA24" t="s">
        <v>58</v>
      </c>
      <c r="AB24">
        <v>23</v>
      </c>
      <c r="AC24" s="8" t="s">
        <v>1071</v>
      </c>
      <c r="AD24" s="8"/>
      <c r="AE24" s="8">
        <v>175</v>
      </c>
      <c r="AF24" s="8"/>
      <c r="AG24" s="8" t="s">
        <v>1036</v>
      </c>
      <c r="AH24" s="8" t="s">
        <v>1032</v>
      </c>
      <c r="AI24" s="11">
        <v>0.01</v>
      </c>
      <c r="AJ24" s="11">
        <v>0</v>
      </c>
      <c r="AK24" s="11">
        <v>65.009480000000011</v>
      </c>
      <c r="AL24" s="11">
        <v>56.710646170044178</v>
      </c>
      <c r="AM24" s="18">
        <v>41.825799999999994</v>
      </c>
      <c r="AN24" s="8" t="s">
        <v>1032</v>
      </c>
      <c r="AO24" s="8" t="s">
        <v>1047</v>
      </c>
    </row>
    <row r="25" spans="2:41" x14ac:dyDescent="0.25">
      <c r="B25" t="s">
        <v>53</v>
      </c>
      <c r="C25" t="s">
        <v>102</v>
      </c>
      <c r="D25" t="s">
        <v>12</v>
      </c>
      <c r="E25" t="s">
        <v>14</v>
      </c>
      <c r="F25">
        <v>2</v>
      </c>
      <c r="G25">
        <v>323</v>
      </c>
      <c r="H25">
        <v>606.29999999999995</v>
      </c>
      <c r="I25">
        <v>53.3</v>
      </c>
      <c r="L25">
        <f t="shared" si="13"/>
        <v>0</v>
      </c>
      <c r="M25">
        <f t="shared" si="14"/>
        <v>0</v>
      </c>
      <c r="N25">
        <f t="shared" si="19"/>
        <v>0</v>
      </c>
      <c r="O25">
        <f t="shared" si="20"/>
        <v>0</v>
      </c>
      <c r="P25">
        <f t="shared" si="21"/>
        <v>0</v>
      </c>
      <c r="Q25">
        <f t="shared" si="22"/>
        <v>0</v>
      </c>
      <c r="R25">
        <f t="shared" si="17"/>
        <v>0</v>
      </c>
      <c r="S25">
        <f t="shared" si="7"/>
        <v>0</v>
      </c>
      <c r="T25">
        <f t="shared" si="23"/>
        <v>0</v>
      </c>
      <c r="U25">
        <f t="shared" si="18"/>
        <v>0</v>
      </c>
      <c r="V25">
        <f t="shared" si="15"/>
        <v>0</v>
      </c>
      <c r="W25">
        <f t="shared" si="16"/>
        <v>0</v>
      </c>
      <c r="X25" t="s">
        <v>103</v>
      </c>
      <c r="Y25" t="s">
        <v>104</v>
      </c>
      <c r="Z25" s="3" t="s">
        <v>105</v>
      </c>
      <c r="AA25" t="s">
        <v>106</v>
      </c>
      <c r="AB25">
        <v>23</v>
      </c>
      <c r="AC25" s="8" t="s">
        <v>1071</v>
      </c>
      <c r="AD25" s="8"/>
      <c r="AE25" s="8">
        <v>175</v>
      </c>
      <c r="AF25" s="8"/>
      <c r="AG25" s="8" t="s">
        <v>1036</v>
      </c>
      <c r="AH25" s="8" t="s">
        <v>1032</v>
      </c>
      <c r="AI25" s="11">
        <v>0.01</v>
      </c>
      <c r="AJ25" s="11">
        <v>0</v>
      </c>
      <c r="AK25" s="11">
        <v>65.009480000000011</v>
      </c>
      <c r="AL25" s="11">
        <v>56.710646170044178</v>
      </c>
      <c r="AM25" s="18">
        <v>41.825799999999994</v>
      </c>
      <c r="AN25" s="8" t="s">
        <v>1032</v>
      </c>
      <c r="AO25" s="8" t="s">
        <v>1047</v>
      </c>
    </row>
    <row r="26" spans="2:41" x14ac:dyDescent="0.25">
      <c r="B26" t="s">
        <v>53</v>
      </c>
      <c r="C26" t="s">
        <v>107</v>
      </c>
      <c r="D26" t="s">
        <v>12</v>
      </c>
      <c r="E26" t="s">
        <v>14</v>
      </c>
      <c r="F26">
        <v>2</v>
      </c>
      <c r="G26">
        <v>329</v>
      </c>
      <c r="H26">
        <v>617.29999999999995</v>
      </c>
      <c r="I26">
        <v>53.3</v>
      </c>
      <c r="L26">
        <f t="shared" si="13"/>
        <v>0</v>
      </c>
      <c r="M26">
        <f t="shared" si="14"/>
        <v>0</v>
      </c>
      <c r="N26">
        <f t="shared" si="19"/>
        <v>0</v>
      </c>
      <c r="O26">
        <f t="shared" si="20"/>
        <v>0</v>
      </c>
      <c r="P26">
        <f t="shared" si="21"/>
        <v>0</v>
      </c>
      <c r="Q26">
        <f t="shared" si="22"/>
        <v>0</v>
      </c>
      <c r="R26">
        <f t="shared" si="17"/>
        <v>0</v>
      </c>
      <c r="S26">
        <f t="shared" si="7"/>
        <v>0</v>
      </c>
      <c r="T26">
        <f t="shared" si="23"/>
        <v>0</v>
      </c>
      <c r="U26">
        <f t="shared" si="18"/>
        <v>0</v>
      </c>
      <c r="V26">
        <f t="shared" si="15"/>
        <v>0</v>
      </c>
      <c r="W26">
        <f t="shared" si="16"/>
        <v>0</v>
      </c>
      <c r="X26" t="s">
        <v>108</v>
      </c>
      <c r="Y26" t="s">
        <v>109</v>
      </c>
      <c r="Z26" s="3" t="s">
        <v>105</v>
      </c>
      <c r="AA26" t="s">
        <v>110</v>
      </c>
      <c r="AB26">
        <v>23</v>
      </c>
      <c r="AC26" s="8" t="s">
        <v>1071</v>
      </c>
      <c r="AD26" s="8"/>
      <c r="AE26" s="8">
        <v>175</v>
      </c>
      <c r="AF26" s="8"/>
      <c r="AG26" s="8" t="s">
        <v>1036</v>
      </c>
      <c r="AH26" s="8" t="s">
        <v>1032</v>
      </c>
      <c r="AI26" s="11">
        <v>0.01</v>
      </c>
      <c r="AJ26" s="11">
        <v>0</v>
      </c>
      <c r="AK26" s="11">
        <v>65.009480000000011</v>
      </c>
      <c r="AL26" s="11">
        <v>56.710646170044178</v>
      </c>
      <c r="AM26" s="18">
        <v>41.825799999999994</v>
      </c>
      <c r="AN26" s="8" t="s">
        <v>1032</v>
      </c>
      <c r="AO26" s="8" t="s">
        <v>1047</v>
      </c>
    </row>
    <row r="27" spans="2:41" x14ac:dyDescent="0.25">
      <c r="B27" t="s">
        <v>53</v>
      </c>
      <c r="C27" t="s">
        <v>111</v>
      </c>
      <c r="D27" t="s">
        <v>12</v>
      </c>
      <c r="E27" t="s">
        <v>14</v>
      </c>
      <c r="F27">
        <v>2</v>
      </c>
      <c r="G27">
        <v>354</v>
      </c>
      <c r="H27">
        <v>625.29999999999995</v>
      </c>
      <c r="I27">
        <v>56.6</v>
      </c>
      <c r="L27">
        <f t="shared" si="13"/>
        <v>0</v>
      </c>
      <c r="M27">
        <f t="shared" si="14"/>
        <v>0</v>
      </c>
      <c r="N27">
        <f t="shared" si="19"/>
        <v>0</v>
      </c>
      <c r="O27">
        <f t="shared" si="20"/>
        <v>0</v>
      </c>
      <c r="P27">
        <f t="shared" si="21"/>
        <v>0</v>
      </c>
      <c r="Q27">
        <f t="shared" si="22"/>
        <v>0</v>
      </c>
      <c r="R27">
        <f t="shared" si="17"/>
        <v>0</v>
      </c>
      <c r="S27">
        <f t="shared" si="7"/>
        <v>0</v>
      </c>
      <c r="T27">
        <f t="shared" si="23"/>
        <v>0</v>
      </c>
      <c r="U27">
        <f t="shared" si="18"/>
        <v>0</v>
      </c>
      <c r="V27">
        <f t="shared" si="15"/>
        <v>0</v>
      </c>
      <c r="W27">
        <f t="shared" si="16"/>
        <v>0</v>
      </c>
      <c r="X27" t="s">
        <v>112</v>
      </c>
      <c r="Y27" t="s">
        <v>109</v>
      </c>
      <c r="Z27" s="3" t="s">
        <v>113</v>
      </c>
      <c r="AA27" t="s">
        <v>114</v>
      </c>
      <c r="AB27">
        <v>23</v>
      </c>
      <c r="AC27" s="8" t="s">
        <v>1071</v>
      </c>
      <c r="AD27" s="8"/>
      <c r="AE27" s="8">
        <v>175</v>
      </c>
      <c r="AF27" s="8"/>
      <c r="AG27" s="8" t="s">
        <v>1036</v>
      </c>
      <c r="AH27" s="8" t="s">
        <v>1032</v>
      </c>
      <c r="AI27" s="11">
        <v>0.01</v>
      </c>
      <c r="AJ27" s="11">
        <v>0</v>
      </c>
      <c r="AK27" s="11">
        <v>65.009480000000011</v>
      </c>
      <c r="AL27" s="11">
        <v>56.710646170044178</v>
      </c>
      <c r="AM27" s="18">
        <v>41.825799999999994</v>
      </c>
      <c r="AN27" s="8" t="s">
        <v>1032</v>
      </c>
      <c r="AO27" s="8" t="s">
        <v>1047</v>
      </c>
    </row>
    <row r="28" spans="2:41" x14ac:dyDescent="0.25">
      <c r="B28" t="s">
        <v>53</v>
      </c>
      <c r="C28" t="s">
        <v>115</v>
      </c>
      <c r="D28" t="s">
        <v>12</v>
      </c>
      <c r="E28" t="s">
        <v>14</v>
      </c>
      <c r="F28">
        <v>2</v>
      </c>
      <c r="G28">
        <v>306</v>
      </c>
      <c r="H28">
        <v>589.5</v>
      </c>
      <c r="I28">
        <v>51.9</v>
      </c>
      <c r="K28" t="s">
        <v>116</v>
      </c>
      <c r="L28">
        <f>M28+N28+O28+P28+Q28+R28+S28+T28+U28+V28+W28</f>
        <v>1</v>
      </c>
      <c r="M28">
        <f t="shared" si="14"/>
        <v>0</v>
      </c>
      <c r="N28">
        <f t="shared" si="19"/>
        <v>0</v>
      </c>
      <c r="O28">
        <f t="shared" si="20"/>
        <v>0</v>
      </c>
      <c r="P28">
        <f t="shared" si="21"/>
        <v>0</v>
      </c>
      <c r="Q28">
        <f t="shared" si="22"/>
        <v>0</v>
      </c>
      <c r="R28">
        <f t="shared" si="17"/>
        <v>0</v>
      </c>
      <c r="S28">
        <v>1</v>
      </c>
      <c r="T28">
        <f t="shared" si="23"/>
        <v>0</v>
      </c>
      <c r="U28">
        <f t="shared" si="18"/>
        <v>0</v>
      </c>
      <c r="V28">
        <f t="shared" si="15"/>
        <v>0</v>
      </c>
      <c r="W28">
        <f t="shared" si="16"/>
        <v>0</v>
      </c>
      <c r="X28" t="s">
        <v>117</v>
      </c>
      <c r="Y28" t="s">
        <v>118</v>
      </c>
      <c r="Z28" s="3" t="s">
        <v>119</v>
      </c>
      <c r="AA28" t="s">
        <v>106</v>
      </c>
      <c r="AB28">
        <v>23</v>
      </c>
      <c r="AC28" s="8" t="s">
        <v>1071</v>
      </c>
      <c r="AD28" s="8"/>
      <c r="AE28" s="8">
        <v>175</v>
      </c>
      <c r="AF28" s="8"/>
      <c r="AG28" s="8" t="s">
        <v>1036</v>
      </c>
      <c r="AH28" s="8" t="s">
        <v>1032</v>
      </c>
      <c r="AI28" s="11">
        <v>0.01</v>
      </c>
      <c r="AJ28" s="11">
        <v>0</v>
      </c>
      <c r="AK28" s="11">
        <v>65.009480000000011</v>
      </c>
      <c r="AL28" s="11">
        <v>56.710646170044178</v>
      </c>
      <c r="AM28" s="18">
        <v>41.825799999999994</v>
      </c>
      <c r="AN28" s="8" t="s">
        <v>1032</v>
      </c>
      <c r="AO28" s="8" t="s">
        <v>1047</v>
      </c>
    </row>
    <row r="29" spans="2:41" x14ac:dyDescent="0.25">
      <c r="B29" t="s">
        <v>53</v>
      </c>
      <c r="C29" t="s">
        <v>120</v>
      </c>
      <c r="D29" t="s">
        <v>12</v>
      </c>
      <c r="E29" t="s">
        <v>14</v>
      </c>
      <c r="F29">
        <v>2</v>
      </c>
      <c r="G29">
        <v>315.5</v>
      </c>
      <c r="H29">
        <v>590.79999999999995</v>
      </c>
      <c r="I29">
        <v>53.4</v>
      </c>
      <c r="K29" t="s">
        <v>86</v>
      </c>
      <c r="L29">
        <f t="shared" si="13"/>
        <v>1</v>
      </c>
      <c r="M29">
        <f t="shared" si="14"/>
        <v>0</v>
      </c>
      <c r="N29">
        <f t="shared" si="19"/>
        <v>0</v>
      </c>
      <c r="O29">
        <f t="shared" si="20"/>
        <v>1</v>
      </c>
      <c r="P29">
        <f t="shared" si="21"/>
        <v>0</v>
      </c>
      <c r="Q29">
        <f t="shared" si="22"/>
        <v>0</v>
      </c>
      <c r="R29">
        <f t="shared" si="17"/>
        <v>0</v>
      </c>
      <c r="S29">
        <f t="shared" ref="S29:S83" si="24">IF(K29="Contamination", 1, 0)</f>
        <v>0</v>
      </c>
      <c r="T29">
        <f t="shared" si="23"/>
        <v>0</v>
      </c>
      <c r="U29">
        <f t="shared" si="18"/>
        <v>0</v>
      </c>
      <c r="V29">
        <f t="shared" si="15"/>
        <v>0</v>
      </c>
      <c r="W29">
        <f t="shared" si="16"/>
        <v>0</v>
      </c>
      <c r="X29" t="s">
        <v>121</v>
      </c>
      <c r="Y29" t="s">
        <v>122</v>
      </c>
      <c r="Z29" s="3" t="s">
        <v>123</v>
      </c>
      <c r="AA29" t="s">
        <v>114</v>
      </c>
      <c r="AB29">
        <v>23</v>
      </c>
      <c r="AC29" s="8" t="s">
        <v>1071</v>
      </c>
      <c r="AD29" s="8"/>
      <c r="AE29" s="8">
        <v>175</v>
      </c>
      <c r="AF29" s="8"/>
      <c r="AG29" s="8" t="s">
        <v>1036</v>
      </c>
      <c r="AH29" s="8" t="s">
        <v>1032</v>
      </c>
      <c r="AI29" s="11">
        <v>0.01</v>
      </c>
      <c r="AJ29" s="11">
        <v>0</v>
      </c>
      <c r="AK29" s="11">
        <v>65.009480000000011</v>
      </c>
      <c r="AL29" s="11">
        <v>56.710646170044178</v>
      </c>
      <c r="AM29" s="18">
        <v>41.825799999999994</v>
      </c>
      <c r="AN29" s="8" t="s">
        <v>1032</v>
      </c>
      <c r="AO29" s="8" t="s">
        <v>1047</v>
      </c>
    </row>
    <row r="30" spans="2:41" x14ac:dyDescent="0.25">
      <c r="B30" t="s">
        <v>53</v>
      </c>
      <c r="C30" t="s">
        <v>124</v>
      </c>
      <c r="D30" t="s">
        <v>12</v>
      </c>
      <c r="E30" t="s">
        <v>14</v>
      </c>
      <c r="F30">
        <v>2</v>
      </c>
      <c r="G30">
        <v>313.5</v>
      </c>
      <c r="H30">
        <v>560.79999999999995</v>
      </c>
      <c r="I30">
        <v>55.9</v>
      </c>
      <c r="L30">
        <f t="shared" si="13"/>
        <v>0</v>
      </c>
      <c r="M30">
        <f t="shared" si="14"/>
        <v>0</v>
      </c>
      <c r="N30">
        <f t="shared" si="19"/>
        <v>0</v>
      </c>
      <c r="O30">
        <f t="shared" si="20"/>
        <v>0</v>
      </c>
      <c r="P30">
        <f t="shared" si="21"/>
        <v>0</v>
      </c>
      <c r="Q30">
        <f t="shared" si="22"/>
        <v>0</v>
      </c>
      <c r="R30">
        <f t="shared" si="17"/>
        <v>0</v>
      </c>
      <c r="S30">
        <f t="shared" si="24"/>
        <v>0</v>
      </c>
      <c r="T30">
        <f t="shared" si="23"/>
        <v>0</v>
      </c>
      <c r="U30">
        <f t="shared" si="18"/>
        <v>0</v>
      </c>
      <c r="V30">
        <f t="shared" si="15"/>
        <v>0</v>
      </c>
      <c r="W30">
        <f t="shared" si="16"/>
        <v>0</v>
      </c>
      <c r="X30" t="s">
        <v>125</v>
      </c>
      <c r="Y30" t="s">
        <v>126</v>
      </c>
      <c r="Z30" s="3" t="s">
        <v>127</v>
      </c>
      <c r="AA30" t="s">
        <v>106</v>
      </c>
      <c r="AB30">
        <v>23</v>
      </c>
      <c r="AC30" s="8" t="s">
        <v>1071</v>
      </c>
      <c r="AD30" s="8"/>
      <c r="AE30" s="8">
        <v>175</v>
      </c>
      <c r="AF30" s="8"/>
      <c r="AG30" s="8" t="s">
        <v>1036</v>
      </c>
      <c r="AH30" s="8" t="s">
        <v>1032</v>
      </c>
      <c r="AI30" s="11">
        <v>0.01</v>
      </c>
      <c r="AJ30" s="11">
        <v>0</v>
      </c>
      <c r="AK30" s="11">
        <v>65.009480000000011</v>
      </c>
      <c r="AL30" s="11">
        <v>56.710646170044178</v>
      </c>
      <c r="AM30" s="18">
        <v>41.825799999999994</v>
      </c>
      <c r="AN30" s="8" t="s">
        <v>1032</v>
      </c>
      <c r="AO30" s="8" t="s">
        <v>1047</v>
      </c>
    </row>
    <row r="31" spans="2:41" x14ac:dyDescent="0.25">
      <c r="B31" t="s">
        <v>53</v>
      </c>
      <c r="C31" t="s">
        <v>128</v>
      </c>
      <c r="D31" t="s">
        <v>12</v>
      </c>
      <c r="E31" t="s">
        <v>14</v>
      </c>
      <c r="F31">
        <v>2</v>
      </c>
      <c r="G31">
        <v>324.5</v>
      </c>
      <c r="H31">
        <v>578.6</v>
      </c>
      <c r="I31">
        <v>56.1</v>
      </c>
      <c r="L31">
        <f t="shared" si="13"/>
        <v>0</v>
      </c>
      <c r="M31">
        <f t="shared" si="14"/>
        <v>0</v>
      </c>
      <c r="N31">
        <f t="shared" si="19"/>
        <v>0</v>
      </c>
      <c r="O31">
        <f t="shared" si="20"/>
        <v>0</v>
      </c>
      <c r="P31">
        <f t="shared" si="21"/>
        <v>0</v>
      </c>
      <c r="Q31">
        <f t="shared" si="22"/>
        <v>0</v>
      </c>
      <c r="R31">
        <f t="shared" si="17"/>
        <v>0</v>
      </c>
      <c r="S31">
        <f t="shared" si="24"/>
        <v>0</v>
      </c>
      <c r="T31">
        <f t="shared" si="23"/>
        <v>0</v>
      </c>
      <c r="U31">
        <f t="shared" si="18"/>
        <v>0</v>
      </c>
      <c r="V31">
        <f t="shared" si="15"/>
        <v>0</v>
      </c>
      <c r="W31">
        <f t="shared" si="16"/>
        <v>0</v>
      </c>
      <c r="X31" t="s">
        <v>129</v>
      </c>
      <c r="Y31" t="s">
        <v>130</v>
      </c>
      <c r="Z31" s="3" t="s">
        <v>127</v>
      </c>
      <c r="AA31" t="s">
        <v>114</v>
      </c>
      <c r="AB31">
        <v>23</v>
      </c>
      <c r="AC31" s="8" t="s">
        <v>1071</v>
      </c>
      <c r="AD31" s="8"/>
      <c r="AE31" s="8">
        <v>175</v>
      </c>
      <c r="AF31" s="8"/>
      <c r="AG31" s="8" t="s">
        <v>1036</v>
      </c>
      <c r="AH31" s="8" t="s">
        <v>1032</v>
      </c>
      <c r="AI31" s="11">
        <v>0.01</v>
      </c>
      <c r="AJ31" s="11">
        <v>0</v>
      </c>
      <c r="AK31" s="11">
        <v>65.009480000000011</v>
      </c>
      <c r="AL31" s="11">
        <v>56.710646170044178</v>
      </c>
      <c r="AM31" s="18">
        <v>41.825799999999994</v>
      </c>
      <c r="AN31" s="8" t="s">
        <v>1032</v>
      </c>
      <c r="AO31" s="8" t="s">
        <v>1047</v>
      </c>
    </row>
    <row r="32" spans="2:41" x14ac:dyDescent="0.25">
      <c r="B32" t="s">
        <v>53</v>
      </c>
      <c r="C32" t="s">
        <v>131</v>
      </c>
      <c r="D32" t="s">
        <v>12</v>
      </c>
      <c r="E32" t="s">
        <v>14</v>
      </c>
      <c r="F32">
        <v>2</v>
      </c>
      <c r="G32">
        <v>292.5</v>
      </c>
      <c r="H32">
        <v>559.20000000000005</v>
      </c>
      <c r="I32">
        <v>52.3</v>
      </c>
      <c r="L32">
        <f t="shared" si="13"/>
        <v>0</v>
      </c>
      <c r="M32">
        <f t="shared" si="14"/>
        <v>0</v>
      </c>
      <c r="N32">
        <f t="shared" si="19"/>
        <v>0</v>
      </c>
      <c r="O32">
        <f t="shared" si="20"/>
        <v>0</v>
      </c>
      <c r="P32">
        <f t="shared" si="21"/>
        <v>0</v>
      </c>
      <c r="Q32">
        <f t="shared" si="22"/>
        <v>0</v>
      </c>
      <c r="R32">
        <f t="shared" si="17"/>
        <v>0</v>
      </c>
      <c r="S32">
        <f t="shared" si="24"/>
        <v>0</v>
      </c>
      <c r="T32">
        <f t="shared" si="23"/>
        <v>0</v>
      </c>
      <c r="U32">
        <f t="shared" si="18"/>
        <v>0</v>
      </c>
      <c r="V32">
        <f t="shared" si="15"/>
        <v>0</v>
      </c>
      <c r="W32">
        <f t="shared" si="16"/>
        <v>0</v>
      </c>
      <c r="X32" t="s">
        <v>132</v>
      </c>
      <c r="Y32" t="s">
        <v>133</v>
      </c>
      <c r="Z32" s="3" t="s">
        <v>134</v>
      </c>
      <c r="AA32" t="s">
        <v>106</v>
      </c>
      <c r="AB32">
        <v>23</v>
      </c>
      <c r="AC32" s="8" t="s">
        <v>1071</v>
      </c>
      <c r="AD32" s="8"/>
      <c r="AE32" s="8">
        <v>175</v>
      </c>
      <c r="AF32" s="8"/>
      <c r="AG32" s="8" t="s">
        <v>1036</v>
      </c>
      <c r="AH32" s="8" t="s">
        <v>1032</v>
      </c>
      <c r="AI32" s="11">
        <v>0.01</v>
      </c>
      <c r="AJ32" s="11">
        <v>0</v>
      </c>
      <c r="AK32" s="11">
        <v>65.009480000000011</v>
      </c>
      <c r="AL32" s="11">
        <v>56.710646170044178</v>
      </c>
      <c r="AM32" s="18">
        <v>41.825799999999994</v>
      </c>
      <c r="AN32" s="8" t="s">
        <v>1032</v>
      </c>
      <c r="AO32" s="8" t="s">
        <v>1047</v>
      </c>
    </row>
    <row r="33" spans="1:41" x14ac:dyDescent="0.25">
      <c r="B33" t="s">
        <v>53</v>
      </c>
      <c r="C33" t="s">
        <v>135</v>
      </c>
      <c r="D33" t="s">
        <v>12</v>
      </c>
      <c r="E33" t="s">
        <v>14</v>
      </c>
      <c r="F33">
        <v>2</v>
      </c>
      <c r="G33">
        <v>353.5</v>
      </c>
      <c r="H33">
        <v>648.9</v>
      </c>
      <c r="I33">
        <v>54.5</v>
      </c>
      <c r="L33">
        <f t="shared" si="13"/>
        <v>0</v>
      </c>
      <c r="M33">
        <f t="shared" si="14"/>
        <v>0</v>
      </c>
      <c r="N33">
        <f t="shared" si="19"/>
        <v>0</v>
      </c>
      <c r="O33">
        <f t="shared" si="20"/>
        <v>0</v>
      </c>
      <c r="P33">
        <f t="shared" si="21"/>
        <v>0</v>
      </c>
      <c r="Q33">
        <f t="shared" si="22"/>
        <v>0</v>
      </c>
      <c r="R33">
        <f t="shared" si="17"/>
        <v>0</v>
      </c>
      <c r="S33">
        <f t="shared" si="24"/>
        <v>0</v>
      </c>
      <c r="T33">
        <f t="shared" si="23"/>
        <v>0</v>
      </c>
      <c r="U33">
        <f t="shared" si="18"/>
        <v>0</v>
      </c>
      <c r="V33">
        <f t="shared" si="15"/>
        <v>0</v>
      </c>
      <c r="W33">
        <f t="shared" si="16"/>
        <v>0</v>
      </c>
      <c r="X33" t="s">
        <v>136</v>
      </c>
      <c r="Y33" t="s">
        <v>137</v>
      </c>
      <c r="Z33" s="3" t="s">
        <v>138</v>
      </c>
      <c r="AA33" t="s">
        <v>58</v>
      </c>
      <c r="AB33">
        <v>23</v>
      </c>
      <c r="AC33" s="8" t="s">
        <v>1071</v>
      </c>
      <c r="AD33" s="8"/>
      <c r="AE33" s="8">
        <v>175</v>
      </c>
      <c r="AF33" s="8"/>
      <c r="AG33" s="8" t="s">
        <v>1036</v>
      </c>
      <c r="AH33" s="8" t="s">
        <v>1032</v>
      </c>
      <c r="AI33" s="11">
        <v>0.01</v>
      </c>
      <c r="AJ33" s="11">
        <v>0</v>
      </c>
      <c r="AK33" s="11">
        <v>65.009480000000011</v>
      </c>
      <c r="AL33" s="11">
        <v>56.710646170044178</v>
      </c>
      <c r="AM33" s="18">
        <v>41.825799999999994</v>
      </c>
      <c r="AN33" s="8" t="s">
        <v>1032</v>
      </c>
      <c r="AO33" s="8" t="s">
        <v>1047</v>
      </c>
    </row>
    <row r="34" spans="1:41" x14ac:dyDescent="0.25">
      <c r="B34" t="s">
        <v>53</v>
      </c>
      <c r="C34" t="s">
        <v>139</v>
      </c>
      <c r="D34" t="s">
        <v>12</v>
      </c>
      <c r="E34" t="s">
        <v>14</v>
      </c>
      <c r="F34">
        <v>2</v>
      </c>
      <c r="G34">
        <v>328.5</v>
      </c>
      <c r="H34">
        <v>611.1</v>
      </c>
      <c r="I34">
        <v>53.8</v>
      </c>
      <c r="L34">
        <f t="shared" si="13"/>
        <v>0</v>
      </c>
      <c r="M34">
        <f t="shared" si="14"/>
        <v>0</v>
      </c>
      <c r="N34">
        <f t="shared" si="19"/>
        <v>0</v>
      </c>
      <c r="O34">
        <f t="shared" si="20"/>
        <v>0</v>
      </c>
      <c r="P34">
        <f t="shared" si="21"/>
        <v>0</v>
      </c>
      <c r="Q34">
        <f t="shared" si="22"/>
        <v>0</v>
      </c>
      <c r="R34">
        <f t="shared" si="17"/>
        <v>0</v>
      </c>
      <c r="S34">
        <f t="shared" si="24"/>
        <v>0</v>
      </c>
      <c r="T34">
        <f t="shared" si="23"/>
        <v>0</v>
      </c>
      <c r="U34">
        <f t="shared" si="18"/>
        <v>0</v>
      </c>
      <c r="V34">
        <f t="shared" si="15"/>
        <v>0</v>
      </c>
      <c r="W34">
        <f t="shared" si="16"/>
        <v>0</v>
      </c>
      <c r="X34" t="s">
        <v>140</v>
      </c>
      <c r="Y34" t="s">
        <v>141</v>
      </c>
      <c r="Z34" s="3" t="s">
        <v>138</v>
      </c>
      <c r="AA34" t="s">
        <v>71</v>
      </c>
      <c r="AB34">
        <v>23</v>
      </c>
      <c r="AC34" s="8" t="s">
        <v>1071</v>
      </c>
      <c r="AD34" s="8"/>
      <c r="AE34" s="8">
        <v>175</v>
      </c>
      <c r="AF34" s="8"/>
      <c r="AG34" s="8" t="s">
        <v>1036</v>
      </c>
      <c r="AH34" s="8" t="s">
        <v>1032</v>
      </c>
      <c r="AI34" s="11">
        <v>0.01</v>
      </c>
      <c r="AJ34" s="11">
        <v>0</v>
      </c>
      <c r="AK34" s="11">
        <v>65.009480000000011</v>
      </c>
      <c r="AL34" s="11">
        <v>56.710646170044178</v>
      </c>
      <c r="AM34" s="18">
        <v>41.825799999999994</v>
      </c>
      <c r="AN34" s="8" t="s">
        <v>1032</v>
      </c>
      <c r="AO34" s="8" t="s">
        <v>1047</v>
      </c>
    </row>
    <row r="35" spans="1:41" x14ac:dyDescent="0.25">
      <c r="B35" t="s">
        <v>53</v>
      </c>
      <c r="C35" t="s">
        <v>142</v>
      </c>
      <c r="D35" t="s">
        <v>12</v>
      </c>
      <c r="E35" t="s">
        <v>14</v>
      </c>
      <c r="F35">
        <v>2</v>
      </c>
      <c r="G35">
        <v>347</v>
      </c>
      <c r="H35">
        <v>655.5</v>
      </c>
      <c r="I35">
        <v>52.9</v>
      </c>
      <c r="L35">
        <f t="shared" si="13"/>
        <v>0</v>
      </c>
      <c r="M35">
        <f t="shared" si="14"/>
        <v>0</v>
      </c>
      <c r="N35">
        <f t="shared" si="19"/>
        <v>0</v>
      </c>
      <c r="O35">
        <f t="shared" si="20"/>
        <v>0</v>
      </c>
      <c r="P35">
        <f t="shared" si="21"/>
        <v>0</v>
      </c>
      <c r="Q35">
        <f t="shared" si="22"/>
        <v>0</v>
      </c>
      <c r="R35">
        <f t="shared" si="17"/>
        <v>0</v>
      </c>
      <c r="S35">
        <f t="shared" si="24"/>
        <v>0</v>
      </c>
      <c r="T35">
        <f t="shared" si="23"/>
        <v>0</v>
      </c>
      <c r="U35">
        <f t="shared" si="18"/>
        <v>0</v>
      </c>
      <c r="V35">
        <f t="shared" si="15"/>
        <v>0</v>
      </c>
      <c r="W35">
        <f t="shared" si="16"/>
        <v>0</v>
      </c>
      <c r="X35" t="s">
        <v>143</v>
      </c>
      <c r="Y35" t="s">
        <v>144</v>
      </c>
      <c r="Z35" s="3" t="s">
        <v>145</v>
      </c>
      <c r="AA35" t="s">
        <v>58</v>
      </c>
      <c r="AB35">
        <v>23</v>
      </c>
      <c r="AC35" s="8" t="s">
        <v>1071</v>
      </c>
      <c r="AD35" s="8"/>
      <c r="AE35" s="8">
        <v>175</v>
      </c>
      <c r="AF35" s="8"/>
      <c r="AG35" s="8" t="s">
        <v>1036</v>
      </c>
      <c r="AH35" s="8" t="s">
        <v>1032</v>
      </c>
      <c r="AI35" s="11">
        <v>0.01</v>
      </c>
      <c r="AJ35" s="11">
        <v>0</v>
      </c>
      <c r="AK35" s="11">
        <v>65.009480000000011</v>
      </c>
      <c r="AL35" s="11">
        <v>56.710646170044178</v>
      </c>
      <c r="AM35" s="18">
        <v>41.825799999999994</v>
      </c>
      <c r="AN35" s="8" t="s">
        <v>1032</v>
      </c>
      <c r="AO35" s="8" t="s">
        <v>1047</v>
      </c>
    </row>
    <row r="36" spans="1:41" x14ac:dyDescent="0.25">
      <c r="B36" t="s">
        <v>53</v>
      </c>
      <c r="C36" t="s">
        <v>146</v>
      </c>
      <c r="D36" t="s">
        <v>12</v>
      </c>
      <c r="E36" t="s">
        <v>14</v>
      </c>
      <c r="F36">
        <v>1</v>
      </c>
      <c r="G36">
        <v>316</v>
      </c>
      <c r="H36">
        <v>547.6</v>
      </c>
      <c r="I36">
        <v>57.7</v>
      </c>
      <c r="L36">
        <f t="shared" si="13"/>
        <v>0</v>
      </c>
      <c r="M36">
        <f t="shared" si="14"/>
        <v>0</v>
      </c>
      <c r="N36">
        <f t="shared" si="19"/>
        <v>0</v>
      </c>
      <c r="O36">
        <f t="shared" si="20"/>
        <v>0</v>
      </c>
      <c r="P36">
        <f t="shared" si="21"/>
        <v>0</v>
      </c>
      <c r="Q36">
        <f t="shared" si="22"/>
        <v>0</v>
      </c>
      <c r="R36">
        <f t="shared" si="17"/>
        <v>0</v>
      </c>
      <c r="S36">
        <f t="shared" si="24"/>
        <v>0</v>
      </c>
      <c r="T36">
        <f t="shared" si="23"/>
        <v>0</v>
      </c>
      <c r="U36">
        <f t="shared" si="18"/>
        <v>0</v>
      </c>
      <c r="V36">
        <f t="shared" si="15"/>
        <v>0</v>
      </c>
      <c r="W36">
        <f t="shared" si="16"/>
        <v>0</v>
      </c>
      <c r="X36" t="s">
        <v>147</v>
      </c>
      <c r="Y36" t="s">
        <v>148</v>
      </c>
      <c r="Z36" s="3" t="s">
        <v>145</v>
      </c>
      <c r="AA36" t="s">
        <v>66</v>
      </c>
      <c r="AB36">
        <v>23</v>
      </c>
      <c r="AC36" s="8" t="s">
        <v>1071</v>
      </c>
      <c r="AD36" s="8"/>
      <c r="AE36" s="8">
        <v>175</v>
      </c>
      <c r="AF36" s="8"/>
      <c r="AG36" s="8" t="s">
        <v>1036</v>
      </c>
      <c r="AH36" s="8" t="s">
        <v>1032</v>
      </c>
      <c r="AI36" s="11">
        <v>0.01</v>
      </c>
      <c r="AJ36" s="11">
        <v>0</v>
      </c>
      <c r="AK36" s="11">
        <v>65.009480000000011</v>
      </c>
      <c r="AL36" s="11">
        <v>56.710646170044178</v>
      </c>
      <c r="AM36" s="18">
        <v>41.825799999999994</v>
      </c>
      <c r="AN36" s="8" t="s">
        <v>1032</v>
      </c>
      <c r="AO36" s="8" t="s">
        <v>1047</v>
      </c>
    </row>
    <row r="37" spans="1:41" x14ac:dyDescent="0.25">
      <c r="B37" t="s">
        <v>53</v>
      </c>
      <c r="C37" t="s">
        <v>149</v>
      </c>
      <c r="D37" t="s">
        <v>12</v>
      </c>
      <c r="E37" t="s">
        <v>14</v>
      </c>
      <c r="F37">
        <v>2</v>
      </c>
      <c r="G37">
        <v>289.5</v>
      </c>
      <c r="H37">
        <v>560.29999999999995</v>
      </c>
      <c r="I37">
        <v>51.7</v>
      </c>
      <c r="L37">
        <f t="shared" si="13"/>
        <v>0</v>
      </c>
      <c r="M37">
        <f t="shared" si="14"/>
        <v>0</v>
      </c>
      <c r="N37">
        <f t="shared" si="19"/>
        <v>0</v>
      </c>
      <c r="O37">
        <f t="shared" si="20"/>
        <v>0</v>
      </c>
      <c r="P37">
        <f t="shared" si="21"/>
        <v>0</v>
      </c>
      <c r="Q37">
        <f t="shared" si="22"/>
        <v>0</v>
      </c>
      <c r="R37">
        <f t="shared" si="17"/>
        <v>0</v>
      </c>
      <c r="S37">
        <f t="shared" si="24"/>
        <v>0</v>
      </c>
      <c r="T37">
        <f t="shared" si="23"/>
        <v>0</v>
      </c>
      <c r="U37">
        <f t="shared" si="18"/>
        <v>0</v>
      </c>
      <c r="V37">
        <f t="shared" si="15"/>
        <v>0</v>
      </c>
      <c r="W37">
        <f t="shared" si="16"/>
        <v>0</v>
      </c>
      <c r="X37" t="s">
        <v>150</v>
      </c>
      <c r="Y37" t="s">
        <v>151</v>
      </c>
      <c r="Z37" s="3" t="s">
        <v>152</v>
      </c>
      <c r="AA37" t="s">
        <v>66</v>
      </c>
      <c r="AB37">
        <v>23</v>
      </c>
      <c r="AC37" s="8" t="s">
        <v>1071</v>
      </c>
      <c r="AD37" s="8"/>
      <c r="AE37" s="8">
        <v>175</v>
      </c>
      <c r="AF37" s="8"/>
      <c r="AG37" s="8" t="s">
        <v>1036</v>
      </c>
      <c r="AH37" s="8" t="s">
        <v>1032</v>
      </c>
      <c r="AI37" s="11">
        <v>0.01</v>
      </c>
      <c r="AJ37" s="11">
        <v>0</v>
      </c>
      <c r="AK37" s="11">
        <v>65.009480000000011</v>
      </c>
      <c r="AL37" s="11">
        <v>56.710646170044178</v>
      </c>
      <c r="AM37" s="18">
        <v>41.825799999999994</v>
      </c>
      <c r="AN37" s="8" t="s">
        <v>1032</v>
      </c>
      <c r="AO37" s="8" t="s">
        <v>1047</v>
      </c>
    </row>
    <row r="38" spans="1:41" x14ac:dyDescent="0.25">
      <c r="B38" t="s">
        <v>53</v>
      </c>
      <c r="C38" t="s">
        <v>153</v>
      </c>
      <c r="D38" t="s">
        <v>12</v>
      </c>
      <c r="E38" t="s">
        <v>14</v>
      </c>
      <c r="F38">
        <v>1</v>
      </c>
      <c r="G38">
        <v>296</v>
      </c>
      <c r="H38">
        <v>560.9</v>
      </c>
      <c r="I38">
        <v>52.8</v>
      </c>
      <c r="L38">
        <f t="shared" si="13"/>
        <v>0</v>
      </c>
      <c r="M38">
        <f t="shared" si="14"/>
        <v>0</v>
      </c>
      <c r="N38">
        <f t="shared" si="19"/>
        <v>0</v>
      </c>
      <c r="O38">
        <f t="shared" si="20"/>
        <v>0</v>
      </c>
      <c r="P38">
        <f t="shared" si="21"/>
        <v>0</v>
      </c>
      <c r="Q38">
        <f t="shared" si="22"/>
        <v>0</v>
      </c>
      <c r="R38">
        <f t="shared" si="17"/>
        <v>0</v>
      </c>
      <c r="S38">
        <f t="shared" si="24"/>
        <v>0</v>
      </c>
      <c r="T38">
        <f t="shared" si="23"/>
        <v>0</v>
      </c>
      <c r="U38">
        <f t="shared" si="18"/>
        <v>0</v>
      </c>
      <c r="V38">
        <f t="shared" si="15"/>
        <v>0</v>
      </c>
      <c r="W38">
        <f t="shared" si="16"/>
        <v>0</v>
      </c>
      <c r="X38" t="s">
        <v>154</v>
      </c>
      <c r="Y38" t="s">
        <v>155</v>
      </c>
      <c r="Z38" s="3" t="s">
        <v>152</v>
      </c>
      <c r="AA38" t="s">
        <v>58</v>
      </c>
      <c r="AB38">
        <v>23</v>
      </c>
      <c r="AC38" s="8" t="s">
        <v>1071</v>
      </c>
      <c r="AD38" s="8"/>
      <c r="AE38" s="8">
        <v>175</v>
      </c>
      <c r="AF38" s="8"/>
      <c r="AG38" s="8" t="s">
        <v>1036</v>
      </c>
      <c r="AH38" s="8" t="s">
        <v>1032</v>
      </c>
      <c r="AI38" s="11">
        <v>0.01</v>
      </c>
      <c r="AJ38" s="11">
        <v>0</v>
      </c>
      <c r="AK38" s="11">
        <v>65.009480000000011</v>
      </c>
      <c r="AL38" s="11">
        <v>56.710646170044178</v>
      </c>
      <c r="AM38" s="18">
        <v>41.825799999999994</v>
      </c>
      <c r="AN38" s="8" t="s">
        <v>1032</v>
      </c>
      <c r="AO38" s="8" t="s">
        <v>1047</v>
      </c>
    </row>
    <row r="39" spans="1:41" x14ac:dyDescent="0.25">
      <c r="B39" t="s">
        <v>53</v>
      </c>
      <c r="C39" t="s">
        <v>156</v>
      </c>
      <c r="D39" t="s">
        <v>12</v>
      </c>
      <c r="E39" t="s">
        <v>14</v>
      </c>
      <c r="F39">
        <v>2</v>
      </c>
      <c r="G39">
        <v>344</v>
      </c>
      <c r="H39">
        <v>614.9</v>
      </c>
      <c r="I39">
        <v>55.9</v>
      </c>
      <c r="L39">
        <f t="shared" si="13"/>
        <v>0</v>
      </c>
      <c r="M39">
        <f t="shared" si="14"/>
        <v>0</v>
      </c>
      <c r="N39">
        <f t="shared" si="19"/>
        <v>0</v>
      </c>
      <c r="O39">
        <f t="shared" si="20"/>
        <v>0</v>
      </c>
      <c r="P39">
        <f t="shared" si="21"/>
        <v>0</v>
      </c>
      <c r="Q39">
        <f t="shared" si="22"/>
        <v>0</v>
      </c>
      <c r="R39">
        <f t="shared" si="17"/>
        <v>0</v>
      </c>
      <c r="S39">
        <f t="shared" si="24"/>
        <v>0</v>
      </c>
      <c r="T39">
        <f t="shared" si="23"/>
        <v>0</v>
      </c>
      <c r="U39">
        <f t="shared" si="18"/>
        <v>0</v>
      </c>
      <c r="V39">
        <f t="shared" si="15"/>
        <v>0</v>
      </c>
      <c r="W39">
        <f t="shared" si="16"/>
        <v>0</v>
      </c>
      <c r="X39" t="s">
        <v>157</v>
      </c>
      <c r="Y39" t="s">
        <v>158</v>
      </c>
      <c r="Z39" s="3" t="s">
        <v>159</v>
      </c>
      <c r="AA39" t="s">
        <v>76</v>
      </c>
      <c r="AB39">
        <v>23</v>
      </c>
      <c r="AC39" s="8" t="s">
        <v>1071</v>
      </c>
      <c r="AD39" s="8"/>
      <c r="AE39" s="8">
        <v>175</v>
      </c>
      <c r="AF39" s="8"/>
      <c r="AG39" s="8" t="s">
        <v>1036</v>
      </c>
      <c r="AH39" s="8" t="s">
        <v>1032</v>
      </c>
      <c r="AI39" s="11">
        <v>0.01</v>
      </c>
      <c r="AJ39" s="11">
        <v>0</v>
      </c>
      <c r="AK39" s="11">
        <v>65.009480000000011</v>
      </c>
      <c r="AL39" s="11">
        <v>56.710646170044178</v>
      </c>
      <c r="AM39" s="18">
        <v>41.825799999999994</v>
      </c>
      <c r="AN39" s="8" t="s">
        <v>1032</v>
      </c>
      <c r="AO39" s="8" t="s">
        <v>1047</v>
      </c>
    </row>
    <row r="40" spans="1:41" x14ac:dyDescent="0.25">
      <c r="B40" t="s">
        <v>53</v>
      </c>
      <c r="C40" t="s">
        <v>160</v>
      </c>
      <c r="D40" t="s">
        <v>12</v>
      </c>
      <c r="E40" t="s">
        <v>14</v>
      </c>
      <c r="F40">
        <v>2</v>
      </c>
      <c r="G40">
        <v>311.5</v>
      </c>
      <c r="H40">
        <v>569.70000000000005</v>
      </c>
      <c r="I40">
        <v>54.7</v>
      </c>
      <c r="L40">
        <f t="shared" si="13"/>
        <v>0</v>
      </c>
      <c r="M40">
        <f t="shared" si="14"/>
        <v>0</v>
      </c>
      <c r="N40">
        <f t="shared" si="19"/>
        <v>0</v>
      </c>
      <c r="O40">
        <f t="shared" si="20"/>
        <v>0</v>
      </c>
      <c r="P40">
        <f t="shared" si="21"/>
        <v>0</v>
      </c>
      <c r="Q40">
        <f t="shared" si="22"/>
        <v>0</v>
      </c>
      <c r="R40">
        <f t="shared" si="17"/>
        <v>0</v>
      </c>
      <c r="S40">
        <f t="shared" si="24"/>
        <v>0</v>
      </c>
      <c r="T40">
        <f t="shared" si="23"/>
        <v>0</v>
      </c>
      <c r="U40">
        <f t="shared" si="18"/>
        <v>0</v>
      </c>
      <c r="V40">
        <f t="shared" si="15"/>
        <v>0</v>
      </c>
      <c r="W40">
        <f t="shared" si="16"/>
        <v>0</v>
      </c>
      <c r="X40" t="s">
        <v>161</v>
      </c>
      <c r="Y40" t="s">
        <v>162</v>
      </c>
      <c r="Z40" s="3" t="s">
        <v>163</v>
      </c>
      <c r="AA40" t="s">
        <v>71</v>
      </c>
      <c r="AB40">
        <v>23</v>
      </c>
      <c r="AC40" s="8" t="s">
        <v>1071</v>
      </c>
      <c r="AD40" s="8"/>
      <c r="AE40" s="8">
        <v>175</v>
      </c>
      <c r="AF40" s="8"/>
      <c r="AG40" s="8" t="s">
        <v>1036</v>
      </c>
      <c r="AH40" s="8" t="s">
        <v>1032</v>
      </c>
      <c r="AI40" s="11">
        <v>0.01</v>
      </c>
      <c r="AJ40" s="11">
        <v>0</v>
      </c>
      <c r="AK40" s="11">
        <v>65.009480000000011</v>
      </c>
      <c r="AL40" s="11">
        <v>56.710646170044178</v>
      </c>
      <c r="AM40" s="18">
        <v>41.825799999999994</v>
      </c>
      <c r="AN40" s="8" t="s">
        <v>1032</v>
      </c>
      <c r="AO40" s="8" t="s">
        <v>1047</v>
      </c>
    </row>
    <row r="41" spans="1:41" x14ac:dyDescent="0.25">
      <c r="B41" t="s">
        <v>53</v>
      </c>
      <c r="C41" t="s">
        <v>164</v>
      </c>
      <c r="D41" t="s">
        <v>12</v>
      </c>
      <c r="E41" t="s">
        <v>14</v>
      </c>
      <c r="F41">
        <v>2</v>
      </c>
      <c r="G41">
        <v>296.5</v>
      </c>
      <c r="H41">
        <v>543.70000000000005</v>
      </c>
      <c r="I41">
        <v>54.5</v>
      </c>
      <c r="L41">
        <f t="shared" si="13"/>
        <v>0</v>
      </c>
      <c r="M41">
        <f t="shared" si="14"/>
        <v>0</v>
      </c>
      <c r="N41">
        <f t="shared" si="19"/>
        <v>0</v>
      </c>
      <c r="O41">
        <f t="shared" si="20"/>
        <v>0</v>
      </c>
      <c r="P41">
        <f t="shared" si="21"/>
        <v>0</v>
      </c>
      <c r="Q41">
        <f t="shared" si="22"/>
        <v>0</v>
      </c>
      <c r="R41">
        <f t="shared" si="17"/>
        <v>0</v>
      </c>
      <c r="S41">
        <f t="shared" si="24"/>
        <v>0</v>
      </c>
      <c r="T41">
        <f t="shared" si="23"/>
        <v>0</v>
      </c>
      <c r="U41">
        <f t="shared" si="18"/>
        <v>0</v>
      </c>
      <c r="V41">
        <f t="shared" si="15"/>
        <v>0</v>
      </c>
      <c r="W41">
        <f t="shared" si="16"/>
        <v>0</v>
      </c>
      <c r="X41" t="s">
        <v>165</v>
      </c>
      <c r="Y41" t="s">
        <v>166</v>
      </c>
      <c r="Z41" s="3" t="s">
        <v>167</v>
      </c>
      <c r="AA41" t="s">
        <v>114</v>
      </c>
      <c r="AB41">
        <v>23</v>
      </c>
      <c r="AC41" s="8" t="s">
        <v>1071</v>
      </c>
      <c r="AD41" s="8"/>
      <c r="AE41" s="8">
        <v>175</v>
      </c>
      <c r="AF41" s="8"/>
      <c r="AG41" s="8" t="s">
        <v>1036</v>
      </c>
      <c r="AH41" s="8" t="s">
        <v>1032</v>
      </c>
      <c r="AI41" s="11">
        <v>0.01</v>
      </c>
      <c r="AJ41" s="11">
        <v>0</v>
      </c>
      <c r="AK41" s="11">
        <v>65.009480000000011</v>
      </c>
      <c r="AL41" s="11">
        <v>56.710646170044178</v>
      </c>
      <c r="AM41" s="18">
        <v>41.825799999999994</v>
      </c>
      <c r="AN41" s="8" t="s">
        <v>1032</v>
      </c>
      <c r="AO41" s="8" t="s">
        <v>1047</v>
      </c>
    </row>
    <row r="42" spans="1:41" x14ac:dyDescent="0.25">
      <c r="B42" t="s">
        <v>53</v>
      </c>
      <c r="C42" t="s">
        <v>168</v>
      </c>
      <c r="D42" t="s">
        <v>12</v>
      </c>
      <c r="E42" t="s">
        <v>14</v>
      </c>
      <c r="F42">
        <v>2</v>
      </c>
      <c r="G42">
        <v>348.5</v>
      </c>
      <c r="H42">
        <v>637.6</v>
      </c>
      <c r="I42">
        <v>54.7</v>
      </c>
      <c r="L42">
        <f t="shared" si="13"/>
        <v>0</v>
      </c>
      <c r="M42">
        <f t="shared" si="14"/>
        <v>0</v>
      </c>
      <c r="N42">
        <f t="shared" si="19"/>
        <v>0</v>
      </c>
      <c r="O42">
        <f t="shared" si="20"/>
        <v>0</v>
      </c>
      <c r="P42">
        <f t="shared" si="21"/>
        <v>0</v>
      </c>
      <c r="Q42">
        <f t="shared" si="22"/>
        <v>0</v>
      </c>
      <c r="R42">
        <f t="shared" si="17"/>
        <v>0</v>
      </c>
      <c r="S42">
        <f t="shared" si="24"/>
        <v>0</v>
      </c>
      <c r="T42">
        <f t="shared" si="23"/>
        <v>0</v>
      </c>
      <c r="U42">
        <f t="shared" si="18"/>
        <v>0</v>
      </c>
      <c r="V42">
        <f t="shared" si="15"/>
        <v>0</v>
      </c>
      <c r="W42">
        <f t="shared" si="16"/>
        <v>0</v>
      </c>
      <c r="X42" t="s">
        <v>169</v>
      </c>
      <c r="Y42" t="s">
        <v>170</v>
      </c>
      <c r="Z42" s="3" t="s">
        <v>171</v>
      </c>
      <c r="AA42" t="s">
        <v>110</v>
      </c>
      <c r="AB42">
        <v>23</v>
      </c>
      <c r="AC42" s="8" t="s">
        <v>1071</v>
      </c>
      <c r="AD42" s="8"/>
      <c r="AE42" s="8">
        <v>175</v>
      </c>
      <c r="AF42" s="8"/>
      <c r="AG42" s="8" t="s">
        <v>1036</v>
      </c>
      <c r="AH42" s="8" t="s">
        <v>1032</v>
      </c>
      <c r="AI42" s="11">
        <v>0.01</v>
      </c>
      <c r="AJ42" s="11">
        <v>0</v>
      </c>
      <c r="AK42" s="11">
        <v>65.009480000000011</v>
      </c>
      <c r="AL42" s="11">
        <v>56.710646170044178</v>
      </c>
      <c r="AM42" s="18">
        <v>41.825799999999994</v>
      </c>
      <c r="AN42" s="8" t="s">
        <v>1032</v>
      </c>
      <c r="AO42" s="8" t="s">
        <v>1047</v>
      </c>
    </row>
    <row r="43" spans="1:41" x14ac:dyDescent="0.25">
      <c r="B43" t="s">
        <v>53</v>
      </c>
      <c r="C43" t="s">
        <v>172</v>
      </c>
      <c r="D43" t="s">
        <v>12</v>
      </c>
      <c r="E43" t="s">
        <v>14</v>
      </c>
      <c r="F43">
        <v>2</v>
      </c>
      <c r="G43">
        <v>313</v>
      </c>
      <c r="H43">
        <v>603.4</v>
      </c>
      <c r="I43">
        <v>51.9</v>
      </c>
      <c r="L43">
        <f t="shared" si="13"/>
        <v>0</v>
      </c>
      <c r="M43">
        <f t="shared" si="14"/>
        <v>0</v>
      </c>
      <c r="N43">
        <f t="shared" si="19"/>
        <v>0</v>
      </c>
      <c r="O43">
        <f t="shared" si="20"/>
        <v>0</v>
      </c>
      <c r="P43">
        <f t="shared" si="21"/>
        <v>0</v>
      </c>
      <c r="Q43">
        <f t="shared" si="22"/>
        <v>0</v>
      </c>
      <c r="R43">
        <f t="shared" si="17"/>
        <v>0</v>
      </c>
      <c r="S43">
        <f t="shared" si="24"/>
        <v>0</v>
      </c>
      <c r="T43">
        <f t="shared" si="23"/>
        <v>0</v>
      </c>
      <c r="U43">
        <f t="shared" si="18"/>
        <v>0</v>
      </c>
      <c r="V43">
        <f t="shared" si="15"/>
        <v>0</v>
      </c>
      <c r="W43">
        <f t="shared" si="16"/>
        <v>0</v>
      </c>
      <c r="X43" t="s">
        <v>173</v>
      </c>
      <c r="Y43" t="s">
        <v>174</v>
      </c>
      <c r="Z43" s="3" t="s">
        <v>171</v>
      </c>
      <c r="AA43" t="s">
        <v>58</v>
      </c>
      <c r="AB43">
        <v>23</v>
      </c>
      <c r="AC43" s="8" t="s">
        <v>1071</v>
      </c>
      <c r="AD43" s="8"/>
      <c r="AE43" s="8">
        <v>175</v>
      </c>
      <c r="AF43" s="8"/>
      <c r="AG43" s="8" t="s">
        <v>1036</v>
      </c>
      <c r="AH43" s="8" t="s">
        <v>1032</v>
      </c>
      <c r="AI43" s="11">
        <v>0.01</v>
      </c>
      <c r="AJ43" s="11">
        <v>0</v>
      </c>
      <c r="AK43" s="11">
        <v>65.009480000000011</v>
      </c>
      <c r="AL43" s="11">
        <v>56.710646170044178</v>
      </c>
      <c r="AM43" s="18">
        <v>41.825799999999994</v>
      </c>
      <c r="AN43" s="8" t="s">
        <v>1032</v>
      </c>
      <c r="AO43" s="8" t="s">
        <v>1047</v>
      </c>
    </row>
    <row r="44" spans="1:41" x14ac:dyDescent="0.25">
      <c r="B44" t="s">
        <v>53</v>
      </c>
      <c r="C44" t="s">
        <v>175</v>
      </c>
      <c r="D44" t="s">
        <v>12</v>
      </c>
      <c r="E44" t="s">
        <v>14</v>
      </c>
      <c r="F44">
        <v>2</v>
      </c>
      <c r="G44">
        <v>328</v>
      </c>
      <c r="H44">
        <v>608.29999999999995</v>
      </c>
      <c r="I44">
        <v>53.9</v>
      </c>
      <c r="L44">
        <f t="shared" si="13"/>
        <v>0</v>
      </c>
      <c r="M44">
        <f t="shared" si="14"/>
        <v>0</v>
      </c>
      <c r="N44">
        <f t="shared" si="19"/>
        <v>0</v>
      </c>
      <c r="O44">
        <f t="shared" si="20"/>
        <v>0</v>
      </c>
      <c r="P44">
        <f t="shared" si="21"/>
        <v>0</v>
      </c>
      <c r="Q44">
        <f t="shared" si="22"/>
        <v>0</v>
      </c>
      <c r="R44">
        <f t="shared" si="17"/>
        <v>0</v>
      </c>
      <c r="S44">
        <f t="shared" si="24"/>
        <v>0</v>
      </c>
      <c r="T44">
        <f t="shared" si="23"/>
        <v>0</v>
      </c>
      <c r="U44">
        <f t="shared" si="18"/>
        <v>0</v>
      </c>
      <c r="V44">
        <f t="shared" si="15"/>
        <v>0</v>
      </c>
      <c r="W44">
        <f t="shared" si="16"/>
        <v>0</v>
      </c>
      <c r="X44" t="s">
        <v>176</v>
      </c>
      <c r="Y44" t="s">
        <v>177</v>
      </c>
      <c r="Z44" s="3" t="s">
        <v>178</v>
      </c>
      <c r="AA44" t="s">
        <v>106</v>
      </c>
      <c r="AB44">
        <v>23</v>
      </c>
      <c r="AC44" s="8" t="s">
        <v>1071</v>
      </c>
      <c r="AD44" s="8"/>
      <c r="AE44" s="8">
        <v>175</v>
      </c>
      <c r="AF44" s="8"/>
      <c r="AG44" s="8" t="s">
        <v>1036</v>
      </c>
      <c r="AH44" s="8" t="s">
        <v>1032</v>
      </c>
      <c r="AI44" s="11">
        <v>0.01</v>
      </c>
      <c r="AJ44" s="11">
        <v>0</v>
      </c>
      <c r="AK44" s="11">
        <v>65.009480000000011</v>
      </c>
      <c r="AL44" s="11">
        <v>56.710646170044178</v>
      </c>
      <c r="AM44" s="18">
        <v>41.825799999999994</v>
      </c>
      <c r="AN44" s="8" t="s">
        <v>1032</v>
      </c>
      <c r="AO44" s="8" t="s">
        <v>1047</v>
      </c>
    </row>
    <row r="45" spans="1:41" x14ac:dyDescent="0.25">
      <c r="B45" t="s">
        <v>53</v>
      </c>
      <c r="C45" t="s">
        <v>179</v>
      </c>
      <c r="D45" t="s">
        <v>12</v>
      </c>
      <c r="E45" t="s">
        <v>14</v>
      </c>
      <c r="F45">
        <v>2</v>
      </c>
      <c r="G45">
        <v>317</v>
      </c>
      <c r="H45">
        <v>603.5</v>
      </c>
      <c r="I45">
        <v>52.5</v>
      </c>
      <c r="K45" t="s">
        <v>180</v>
      </c>
      <c r="L45">
        <f t="shared" si="13"/>
        <v>1</v>
      </c>
      <c r="M45">
        <f t="shared" si="14"/>
        <v>0</v>
      </c>
      <c r="N45">
        <f t="shared" si="19"/>
        <v>0</v>
      </c>
      <c r="O45">
        <f t="shared" si="20"/>
        <v>0</v>
      </c>
      <c r="P45">
        <f t="shared" si="21"/>
        <v>0</v>
      </c>
      <c r="Q45">
        <f t="shared" si="22"/>
        <v>0</v>
      </c>
      <c r="R45">
        <f t="shared" si="17"/>
        <v>0</v>
      </c>
      <c r="S45">
        <f t="shared" si="24"/>
        <v>0</v>
      </c>
      <c r="T45">
        <f t="shared" si="23"/>
        <v>0</v>
      </c>
      <c r="U45">
        <f t="shared" si="18"/>
        <v>0</v>
      </c>
      <c r="V45">
        <f t="shared" si="15"/>
        <v>0</v>
      </c>
      <c r="W45">
        <f t="shared" si="16"/>
        <v>1</v>
      </c>
      <c r="X45" t="s">
        <v>181</v>
      </c>
      <c r="Y45" t="s">
        <v>182</v>
      </c>
      <c r="Z45" s="3" t="s">
        <v>183</v>
      </c>
      <c r="AA45" t="s">
        <v>71</v>
      </c>
      <c r="AB45">
        <v>23</v>
      </c>
      <c r="AC45" s="8" t="s">
        <v>1071</v>
      </c>
      <c r="AD45" s="8"/>
      <c r="AE45" s="8">
        <v>175</v>
      </c>
      <c r="AF45" s="8"/>
      <c r="AG45" s="8" t="s">
        <v>1036</v>
      </c>
      <c r="AH45" s="8" t="s">
        <v>1032</v>
      </c>
      <c r="AI45" s="11">
        <v>0.01</v>
      </c>
      <c r="AJ45" s="11">
        <v>0</v>
      </c>
      <c r="AK45" s="11">
        <v>65.009480000000011</v>
      </c>
      <c r="AL45" s="11">
        <v>56.710646170044178</v>
      </c>
      <c r="AM45" s="18">
        <v>41.825799999999994</v>
      </c>
      <c r="AN45" s="8" t="s">
        <v>1032</v>
      </c>
      <c r="AO45" s="8" t="s">
        <v>1047</v>
      </c>
    </row>
    <row r="46" spans="1:41" x14ac:dyDescent="0.25">
      <c r="B46" t="s">
        <v>53</v>
      </c>
      <c r="C46" t="s">
        <v>184</v>
      </c>
      <c r="D46" t="s">
        <v>12</v>
      </c>
      <c r="E46" t="s">
        <v>14</v>
      </c>
      <c r="F46">
        <v>1</v>
      </c>
      <c r="G46">
        <v>307.5</v>
      </c>
      <c r="H46">
        <v>579.70000000000005</v>
      </c>
      <c r="I46">
        <v>53</v>
      </c>
      <c r="L46">
        <f t="shared" si="13"/>
        <v>0</v>
      </c>
      <c r="M46">
        <f t="shared" si="14"/>
        <v>0</v>
      </c>
      <c r="N46">
        <f t="shared" si="19"/>
        <v>0</v>
      </c>
      <c r="O46">
        <f t="shared" si="20"/>
        <v>0</v>
      </c>
      <c r="P46">
        <f t="shared" si="21"/>
        <v>0</v>
      </c>
      <c r="Q46">
        <f t="shared" si="22"/>
        <v>0</v>
      </c>
      <c r="R46">
        <f t="shared" si="17"/>
        <v>0</v>
      </c>
      <c r="S46">
        <f t="shared" si="24"/>
        <v>0</v>
      </c>
      <c r="T46">
        <f t="shared" si="23"/>
        <v>0</v>
      </c>
      <c r="U46">
        <f t="shared" si="18"/>
        <v>0</v>
      </c>
      <c r="V46">
        <f t="shared" si="15"/>
        <v>0</v>
      </c>
      <c r="W46">
        <f t="shared" si="16"/>
        <v>0</v>
      </c>
      <c r="X46" t="s">
        <v>185</v>
      </c>
      <c r="Y46" t="s">
        <v>186</v>
      </c>
      <c r="Z46" s="3" t="s">
        <v>187</v>
      </c>
      <c r="AA46" t="s">
        <v>76</v>
      </c>
      <c r="AB46">
        <v>23</v>
      </c>
      <c r="AC46" s="8" t="s">
        <v>1071</v>
      </c>
      <c r="AD46" s="8"/>
      <c r="AE46" s="8">
        <v>175</v>
      </c>
      <c r="AF46" s="8"/>
      <c r="AG46" s="8" t="s">
        <v>1036</v>
      </c>
      <c r="AH46" s="8" t="s">
        <v>1032</v>
      </c>
      <c r="AI46" s="11">
        <v>0.01</v>
      </c>
      <c r="AJ46" s="11">
        <v>0</v>
      </c>
      <c r="AK46" s="11">
        <v>65.009480000000011</v>
      </c>
      <c r="AL46" s="11">
        <v>56.710646170044178</v>
      </c>
      <c r="AM46" s="18">
        <v>41.825799999999994</v>
      </c>
      <c r="AN46" s="8" t="s">
        <v>1032</v>
      </c>
      <c r="AO46" s="8" t="s">
        <v>1047</v>
      </c>
    </row>
    <row r="47" spans="1:41" x14ac:dyDescent="0.25">
      <c r="A47" s="2"/>
      <c r="B47" s="2" t="s">
        <v>53</v>
      </c>
      <c r="C47" s="2" t="s">
        <v>188</v>
      </c>
      <c r="D47" s="2" t="s">
        <v>12</v>
      </c>
      <c r="E47" s="2" t="s">
        <v>14</v>
      </c>
      <c r="F47" s="2">
        <v>2</v>
      </c>
      <c r="G47" s="2">
        <v>297</v>
      </c>
      <c r="H47" s="2">
        <v>551</v>
      </c>
      <c r="I47" s="2">
        <v>53.9</v>
      </c>
      <c r="J47" s="2"/>
      <c r="K47" s="2"/>
      <c r="L47" s="2">
        <f t="shared" si="13"/>
        <v>0</v>
      </c>
      <c r="M47" s="2">
        <f t="shared" si="14"/>
        <v>0</v>
      </c>
      <c r="N47" s="2">
        <f t="shared" si="19"/>
        <v>0</v>
      </c>
      <c r="O47" s="2">
        <f t="shared" si="20"/>
        <v>0</v>
      </c>
      <c r="P47" s="2">
        <f t="shared" si="21"/>
        <v>0</v>
      </c>
      <c r="Q47" s="2">
        <f t="shared" si="22"/>
        <v>0</v>
      </c>
      <c r="R47" s="2">
        <f t="shared" si="17"/>
        <v>0</v>
      </c>
      <c r="S47" s="2">
        <f t="shared" si="24"/>
        <v>0</v>
      </c>
      <c r="T47" s="2">
        <f t="shared" si="23"/>
        <v>0</v>
      </c>
      <c r="U47" s="2">
        <f t="shared" si="18"/>
        <v>0</v>
      </c>
      <c r="V47" s="2">
        <f t="shared" si="15"/>
        <v>0</v>
      </c>
      <c r="W47" s="2">
        <f t="shared" si="16"/>
        <v>0</v>
      </c>
      <c r="X47" s="2" t="s">
        <v>189</v>
      </c>
      <c r="Y47" s="2" t="s">
        <v>190</v>
      </c>
      <c r="Z47" s="6" t="s">
        <v>191</v>
      </c>
      <c r="AA47" s="2" t="s">
        <v>58</v>
      </c>
      <c r="AB47" s="2">
        <v>23</v>
      </c>
      <c r="AC47" s="9" t="s">
        <v>1071</v>
      </c>
      <c r="AD47" s="9"/>
      <c r="AE47" s="9">
        <v>175</v>
      </c>
      <c r="AF47" s="9"/>
      <c r="AG47" s="9" t="s">
        <v>1036</v>
      </c>
      <c r="AH47" s="9" t="s">
        <v>1032</v>
      </c>
      <c r="AI47" s="19">
        <v>0.01</v>
      </c>
      <c r="AJ47" s="19">
        <v>0</v>
      </c>
      <c r="AK47" s="19">
        <v>65.009480000000011</v>
      </c>
      <c r="AL47" s="19">
        <v>56.710646170044178</v>
      </c>
      <c r="AM47" s="20">
        <v>41.825799999999994</v>
      </c>
      <c r="AN47" s="9" t="s">
        <v>1032</v>
      </c>
      <c r="AO47" s="9" t="s">
        <v>1047</v>
      </c>
    </row>
    <row r="48" spans="1:41" ht="15.75" x14ac:dyDescent="0.25">
      <c r="A48" s="7">
        <v>44266</v>
      </c>
      <c r="B48" t="s">
        <v>192</v>
      </c>
      <c r="C48" t="s">
        <v>193</v>
      </c>
      <c r="D48" t="s">
        <v>12</v>
      </c>
      <c r="E48" t="s">
        <v>14</v>
      </c>
      <c r="F48">
        <v>4</v>
      </c>
      <c r="G48">
        <v>314.5</v>
      </c>
      <c r="H48">
        <v>644.29999999999995</v>
      </c>
      <c r="I48">
        <v>48.8</v>
      </c>
      <c r="K48" t="s">
        <v>180</v>
      </c>
      <c r="L48">
        <f t="shared" si="13"/>
        <v>1</v>
      </c>
      <c r="M48">
        <f t="shared" si="14"/>
        <v>0</v>
      </c>
      <c r="N48">
        <f t="shared" si="19"/>
        <v>0</v>
      </c>
      <c r="O48">
        <f t="shared" si="20"/>
        <v>0</v>
      </c>
      <c r="P48">
        <f t="shared" si="21"/>
        <v>0</v>
      </c>
      <c r="Q48">
        <f t="shared" si="22"/>
        <v>0</v>
      </c>
      <c r="R48">
        <f t="shared" si="17"/>
        <v>0</v>
      </c>
      <c r="S48">
        <f t="shared" si="24"/>
        <v>0</v>
      </c>
      <c r="T48">
        <f t="shared" si="23"/>
        <v>0</v>
      </c>
      <c r="U48">
        <f t="shared" si="18"/>
        <v>0</v>
      </c>
      <c r="V48">
        <f t="shared" si="15"/>
        <v>0</v>
      </c>
      <c r="W48">
        <f t="shared" si="16"/>
        <v>1</v>
      </c>
      <c r="X48" t="s">
        <v>194</v>
      </c>
      <c r="Y48" t="s">
        <v>195</v>
      </c>
      <c r="Z48" s="3" t="s">
        <v>196</v>
      </c>
      <c r="AA48" t="s">
        <v>197</v>
      </c>
      <c r="AB48">
        <v>16.5</v>
      </c>
      <c r="AC48" s="8" t="s">
        <v>1036</v>
      </c>
      <c r="AD48" s="8" t="s">
        <v>1048</v>
      </c>
      <c r="AE48" s="8">
        <v>172</v>
      </c>
      <c r="AF48" s="8">
        <v>5</v>
      </c>
      <c r="AG48" s="10" t="s">
        <v>1036</v>
      </c>
      <c r="AH48" s="8" t="s">
        <v>1032</v>
      </c>
      <c r="AI48" s="11">
        <v>1.0900000000000001</v>
      </c>
      <c r="AJ48" s="11">
        <v>4.0000000000000009</v>
      </c>
      <c r="AK48" s="11">
        <v>67.55901999999999</v>
      </c>
      <c r="AL48" s="11">
        <v>67.316486185529286</v>
      </c>
      <c r="AM48" s="11">
        <v>47.197300000000006</v>
      </c>
      <c r="AN48" s="8" t="s">
        <v>1032</v>
      </c>
      <c r="AO48" s="8" t="s">
        <v>1032</v>
      </c>
    </row>
    <row r="49" spans="1:41" x14ac:dyDescent="0.25">
      <c r="B49" t="s">
        <v>192</v>
      </c>
      <c r="C49" t="s">
        <v>198</v>
      </c>
      <c r="D49" t="s">
        <v>12</v>
      </c>
      <c r="E49" t="s">
        <v>14</v>
      </c>
      <c r="F49">
        <v>2</v>
      </c>
      <c r="G49">
        <v>317.5</v>
      </c>
      <c r="H49">
        <v>597.4</v>
      </c>
      <c r="I49">
        <v>53.1</v>
      </c>
      <c r="L49">
        <f t="shared" si="13"/>
        <v>0</v>
      </c>
      <c r="M49">
        <f t="shared" si="14"/>
        <v>0</v>
      </c>
      <c r="N49">
        <f t="shared" si="19"/>
        <v>0</v>
      </c>
      <c r="O49">
        <f t="shared" si="20"/>
        <v>0</v>
      </c>
      <c r="P49">
        <f t="shared" si="21"/>
        <v>0</v>
      </c>
      <c r="Q49">
        <f t="shared" si="22"/>
        <v>0</v>
      </c>
      <c r="R49">
        <f t="shared" si="17"/>
        <v>0</v>
      </c>
      <c r="S49">
        <f t="shared" si="24"/>
        <v>0</v>
      </c>
      <c r="T49">
        <f t="shared" si="23"/>
        <v>0</v>
      </c>
      <c r="U49">
        <f t="shared" si="18"/>
        <v>0</v>
      </c>
      <c r="V49">
        <f t="shared" si="15"/>
        <v>0</v>
      </c>
      <c r="W49">
        <f t="shared" si="16"/>
        <v>0</v>
      </c>
      <c r="X49" t="s">
        <v>199</v>
      </c>
      <c r="Y49" t="s">
        <v>200</v>
      </c>
      <c r="Z49" s="3" t="s">
        <v>201</v>
      </c>
      <c r="AA49" t="s">
        <v>197</v>
      </c>
      <c r="AB49">
        <v>16.5</v>
      </c>
      <c r="AC49" s="8" t="s">
        <v>1036</v>
      </c>
      <c r="AD49" s="8" t="s">
        <v>1048</v>
      </c>
      <c r="AE49" s="8">
        <v>172</v>
      </c>
      <c r="AF49" s="8">
        <v>5</v>
      </c>
      <c r="AG49" s="8" t="s">
        <v>1036</v>
      </c>
      <c r="AH49" s="8" t="s">
        <v>1032</v>
      </c>
      <c r="AI49" s="11">
        <v>1.0900000000000001</v>
      </c>
      <c r="AJ49" s="11">
        <v>4.0000000000000009</v>
      </c>
      <c r="AK49" s="11">
        <v>67.55901999999999</v>
      </c>
      <c r="AL49" s="11">
        <v>67.316486185529286</v>
      </c>
      <c r="AM49" s="11">
        <v>47.197300000000006</v>
      </c>
      <c r="AN49" s="8" t="s">
        <v>1032</v>
      </c>
      <c r="AO49" s="8" t="s">
        <v>1032</v>
      </c>
    </row>
    <row r="50" spans="1:41" x14ac:dyDescent="0.25">
      <c r="B50" t="s">
        <v>192</v>
      </c>
      <c r="C50" t="s">
        <v>202</v>
      </c>
      <c r="D50" t="s">
        <v>12</v>
      </c>
      <c r="E50" t="s">
        <v>14</v>
      </c>
      <c r="F50">
        <v>2</v>
      </c>
      <c r="G50">
        <v>301</v>
      </c>
      <c r="H50">
        <v>588.5</v>
      </c>
      <c r="I50">
        <v>51.1</v>
      </c>
      <c r="L50">
        <f t="shared" si="13"/>
        <v>0</v>
      </c>
      <c r="M50">
        <f t="shared" si="14"/>
        <v>0</v>
      </c>
      <c r="N50">
        <f t="shared" si="19"/>
        <v>0</v>
      </c>
      <c r="O50">
        <f t="shared" si="20"/>
        <v>0</v>
      </c>
      <c r="P50">
        <f t="shared" si="21"/>
        <v>0</v>
      </c>
      <c r="Q50">
        <f t="shared" si="22"/>
        <v>0</v>
      </c>
      <c r="R50">
        <f t="shared" si="17"/>
        <v>0</v>
      </c>
      <c r="S50">
        <f t="shared" si="24"/>
        <v>0</v>
      </c>
      <c r="T50">
        <f t="shared" si="23"/>
        <v>0</v>
      </c>
      <c r="U50">
        <f t="shared" si="18"/>
        <v>0</v>
      </c>
      <c r="V50">
        <f t="shared" si="15"/>
        <v>0</v>
      </c>
      <c r="W50">
        <f t="shared" si="16"/>
        <v>0</v>
      </c>
      <c r="X50" t="s">
        <v>203</v>
      </c>
      <c r="Y50" t="s">
        <v>204</v>
      </c>
      <c r="Z50" s="3" t="s">
        <v>205</v>
      </c>
      <c r="AA50" t="s">
        <v>197</v>
      </c>
      <c r="AB50">
        <v>16.5</v>
      </c>
      <c r="AC50" s="8" t="s">
        <v>1036</v>
      </c>
      <c r="AD50" s="8" t="s">
        <v>1048</v>
      </c>
      <c r="AE50" s="8">
        <v>172</v>
      </c>
      <c r="AF50" s="8">
        <v>5</v>
      </c>
      <c r="AG50" s="8" t="s">
        <v>1036</v>
      </c>
      <c r="AH50" s="8" t="s">
        <v>1032</v>
      </c>
      <c r="AI50" s="11">
        <v>1.0900000000000001</v>
      </c>
      <c r="AJ50" s="11">
        <v>4.0000000000000009</v>
      </c>
      <c r="AK50" s="11">
        <v>67.55901999999999</v>
      </c>
      <c r="AL50" s="11">
        <v>67.316486185529286</v>
      </c>
      <c r="AM50" s="11">
        <v>47.197300000000006</v>
      </c>
      <c r="AN50" s="8" t="s">
        <v>1032</v>
      </c>
      <c r="AO50" s="8" t="s">
        <v>1032</v>
      </c>
    </row>
    <row r="51" spans="1:41" x14ac:dyDescent="0.25">
      <c r="B51" t="s">
        <v>192</v>
      </c>
      <c r="C51" t="s">
        <v>206</v>
      </c>
      <c r="D51" t="s">
        <v>12</v>
      </c>
      <c r="E51" t="s">
        <v>14</v>
      </c>
      <c r="F51">
        <v>2</v>
      </c>
      <c r="G51">
        <v>335.5</v>
      </c>
      <c r="H51">
        <v>611.9</v>
      </c>
      <c r="I51">
        <v>54.8</v>
      </c>
      <c r="L51">
        <f t="shared" si="13"/>
        <v>0</v>
      </c>
      <c r="M51">
        <f t="shared" si="14"/>
        <v>0</v>
      </c>
      <c r="N51">
        <f t="shared" si="19"/>
        <v>0</v>
      </c>
      <c r="O51">
        <f t="shared" si="20"/>
        <v>0</v>
      </c>
      <c r="P51">
        <f t="shared" si="21"/>
        <v>0</v>
      </c>
      <c r="Q51">
        <f t="shared" si="22"/>
        <v>0</v>
      </c>
      <c r="R51">
        <f t="shared" si="17"/>
        <v>0</v>
      </c>
      <c r="S51">
        <f t="shared" si="24"/>
        <v>0</v>
      </c>
      <c r="T51">
        <f t="shared" si="23"/>
        <v>0</v>
      </c>
      <c r="U51">
        <f t="shared" si="18"/>
        <v>0</v>
      </c>
      <c r="V51">
        <f t="shared" si="15"/>
        <v>0</v>
      </c>
      <c r="W51">
        <f t="shared" si="16"/>
        <v>0</v>
      </c>
      <c r="X51" t="s">
        <v>207</v>
      </c>
      <c r="Y51" t="s">
        <v>208</v>
      </c>
      <c r="Z51" s="3" t="s">
        <v>205</v>
      </c>
      <c r="AA51" t="s">
        <v>197</v>
      </c>
      <c r="AB51">
        <v>16.5</v>
      </c>
      <c r="AC51" s="8" t="s">
        <v>1036</v>
      </c>
      <c r="AD51" s="8" t="s">
        <v>1048</v>
      </c>
      <c r="AE51" s="8">
        <v>172</v>
      </c>
      <c r="AF51" s="8">
        <v>5</v>
      </c>
      <c r="AG51" s="8" t="s">
        <v>1036</v>
      </c>
      <c r="AH51" s="8" t="s">
        <v>1032</v>
      </c>
      <c r="AI51" s="11">
        <v>1.0900000000000001</v>
      </c>
      <c r="AJ51" s="11">
        <v>4.0000000000000009</v>
      </c>
      <c r="AK51" s="11">
        <v>67.55901999999999</v>
      </c>
      <c r="AL51" s="11">
        <v>67.316486185529286</v>
      </c>
      <c r="AM51" s="11">
        <v>47.197300000000006</v>
      </c>
      <c r="AN51" s="8" t="s">
        <v>1032</v>
      </c>
      <c r="AO51" s="8" t="s">
        <v>1032</v>
      </c>
    </row>
    <row r="52" spans="1:41" x14ac:dyDescent="0.25">
      <c r="B52" t="s">
        <v>192</v>
      </c>
      <c r="C52" t="s">
        <v>209</v>
      </c>
      <c r="D52" t="s">
        <v>12</v>
      </c>
      <c r="E52" t="s">
        <v>14</v>
      </c>
      <c r="F52">
        <v>2</v>
      </c>
      <c r="G52">
        <v>313.5</v>
      </c>
      <c r="H52">
        <v>569.70000000000005</v>
      </c>
      <c r="I52">
        <v>55</v>
      </c>
      <c r="L52">
        <f t="shared" si="13"/>
        <v>0</v>
      </c>
      <c r="M52">
        <f t="shared" si="14"/>
        <v>0</v>
      </c>
      <c r="N52">
        <f t="shared" si="19"/>
        <v>0</v>
      </c>
      <c r="O52">
        <f t="shared" si="20"/>
        <v>0</v>
      </c>
      <c r="P52">
        <f t="shared" si="21"/>
        <v>0</v>
      </c>
      <c r="Q52">
        <f t="shared" si="22"/>
        <v>0</v>
      </c>
      <c r="R52">
        <f t="shared" si="17"/>
        <v>0</v>
      </c>
      <c r="S52">
        <f t="shared" si="24"/>
        <v>0</v>
      </c>
      <c r="T52">
        <f t="shared" si="23"/>
        <v>0</v>
      </c>
      <c r="U52">
        <f t="shared" si="18"/>
        <v>0</v>
      </c>
      <c r="V52">
        <f t="shared" si="15"/>
        <v>0</v>
      </c>
      <c r="W52">
        <f t="shared" si="16"/>
        <v>0</v>
      </c>
      <c r="X52" t="s">
        <v>210</v>
      </c>
      <c r="Y52" t="s">
        <v>211</v>
      </c>
      <c r="Z52" s="3" t="s">
        <v>205</v>
      </c>
      <c r="AA52" t="s">
        <v>212</v>
      </c>
      <c r="AB52">
        <v>16.5</v>
      </c>
      <c r="AC52" s="8" t="s">
        <v>1036</v>
      </c>
      <c r="AD52" s="8" t="s">
        <v>1048</v>
      </c>
      <c r="AE52" s="8">
        <v>172</v>
      </c>
      <c r="AF52" s="8">
        <v>5</v>
      </c>
      <c r="AG52" s="8" t="s">
        <v>1036</v>
      </c>
      <c r="AH52" s="8" t="s">
        <v>1032</v>
      </c>
      <c r="AI52" s="11">
        <v>1.0900000000000001</v>
      </c>
      <c r="AJ52" s="11">
        <v>4.0000000000000009</v>
      </c>
      <c r="AK52" s="11">
        <v>67.55901999999999</v>
      </c>
      <c r="AL52" s="11">
        <v>67.316486185529286</v>
      </c>
      <c r="AM52" s="11">
        <v>47.197300000000006</v>
      </c>
      <c r="AN52" s="8" t="s">
        <v>1032</v>
      </c>
      <c r="AO52" s="8" t="s">
        <v>1032</v>
      </c>
    </row>
    <row r="53" spans="1:41" x14ac:dyDescent="0.25">
      <c r="B53" t="s">
        <v>192</v>
      </c>
      <c r="C53" t="s">
        <v>213</v>
      </c>
      <c r="D53" t="s">
        <v>12</v>
      </c>
      <c r="E53" t="s">
        <v>14</v>
      </c>
      <c r="F53">
        <v>4</v>
      </c>
      <c r="G53">
        <v>315</v>
      </c>
      <c r="H53">
        <v>555.1</v>
      </c>
      <c r="I53">
        <v>56.7</v>
      </c>
      <c r="K53" t="s">
        <v>214</v>
      </c>
      <c r="L53">
        <f>M53+N53+O53+P53+Q53+R53+T53+U53+V53+W53</f>
        <v>1</v>
      </c>
      <c r="M53">
        <f t="shared" si="14"/>
        <v>0</v>
      </c>
      <c r="N53">
        <f t="shared" si="19"/>
        <v>0</v>
      </c>
      <c r="O53">
        <f t="shared" si="20"/>
        <v>0</v>
      </c>
      <c r="P53">
        <f t="shared" si="21"/>
        <v>0</v>
      </c>
      <c r="Q53">
        <f t="shared" si="22"/>
        <v>0</v>
      </c>
      <c r="R53">
        <f t="shared" si="17"/>
        <v>0</v>
      </c>
      <c r="S53">
        <f t="shared" si="24"/>
        <v>0</v>
      </c>
      <c r="T53">
        <f t="shared" si="23"/>
        <v>0</v>
      </c>
      <c r="U53">
        <f t="shared" si="18"/>
        <v>0</v>
      </c>
      <c r="V53">
        <f>IF(K53="Peritonitis", 1, 0)</f>
        <v>1</v>
      </c>
      <c r="W53">
        <f t="shared" si="16"/>
        <v>0</v>
      </c>
      <c r="X53" t="s">
        <v>215</v>
      </c>
      <c r="Y53" t="s">
        <v>216</v>
      </c>
      <c r="Z53" s="3" t="s">
        <v>217</v>
      </c>
      <c r="AA53" t="s">
        <v>218</v>
      </c>
      <c r="AB53">
        <v>16.5</v>
      </c>
      <c r="AC53" s="8" t="s">
        <v>1036</v>
      </c>
      <c r="AD53" s="8" t="s">
        <v>1048</v>
      </c>
      <c r="AE53" s="8">
        <v>172</v>
      </c>
      <c r="AF53" s="8">
        <v>5</v>
      </c>
      <c r="AG53" s="8" t="s">
        <v>1036</v>
      </c>
      <c r="AH53" s="8" t="s">
        <v>1032</v>
      </c>
      <c r="AI53" s="11">
        <v>1.0900000000000001</v>
      </c>
      <c r="AJ53" s="11">
        <v>4.0000000000000009</v>
      </c>
      <c r="AK53" s="11">
        <v>67.55901999999999</v>
      </c>
      <c r="AL53" s="11">
        <v>67.316486185529286</v>
      </c>
      <c r="AM53" s="11">
        <v>47.197300000000006</v>
      </c>
      <c r="AN53" s="8" t="s">
        <v>1032</v>
      </c>
      <c r="AO53" s="8" t="s">
        <v>1032</v>
      </c>
    </row>
    <row r="54" spans="1:41" x14ac:dyDescent="0.25">
      <c r="B54" t="s">
        <v>192</v>
      </c>
      <c r="C54" t="s">
        <v>219</v>
      </c>
      <c r="D54" t="s">
        <v>12</v>
      </c>
      <c r="E54" t="s">
        <v>14</v>
      </c>
      <c r="F54">
        <v>2</v>
      </c>
      <c r="G54">
        <v>332.5</v>
      </c>
      <c r="H54">
        <v>606.70000000000005</v>
      </c>
      <c r="I54">
        <v>54.8</v>
      </c>
      <c r="L54">
        <f t="shared" ref="L54:L83" si="25">M54+N54+O54+P54+Q54+R54+T54+U54+V54+W54</f>
        <v>0</v>
      </c>
      <c r="M54">
        <f t="shared" si="14"/>
        <v>0</v>
      </c>
      <c r="N54">
        <f t="shared" si="19"/>
        <v>0</v>
      </c>
      <c r="O54">
        <f t="shared" si="20"/>
        <v>0</v>
      </c>
      <c r="P54">
        <f t="shared" si="21"/>
        <v>0</v>
      </c>
      <c r="Q54">
        <f t="shared" si="22"/>
        <v>0</v>
      </c>
      <c r="R54">
        <f t="shared" si="17"/>
        <v>0</v>
      </c>
      <c r="S54">
        <f t="shared" si="24"/>
        <v>0</v>
      </c>
      <c r="T54">
        <f t="shared" si="23"/>
        <v>0</v>
      </c>
      <c r="U54">
        <f t="shared" si="18"/>
        <v>0</v>
      </c>
      <c r="V54">
        <f t="shared" ref="V54:V117" si="26">IF(K54="Peritonitis", 1, 0)</f>
        <v>0</v>
      </c>
      <c r="W54">
        <f t="shared" si="16"/>
        <v>0</v>
      </c>
      <c r="X54" t="s">
        <v>220</v>
      </c>
      <c r="Y54" t="s">
        <v>221</v>
      </c>
      <c r="Z54" s="3" t="s">
        <v>222</v>
      </c>
      <c r="AA54" t="s">
        <v>218</v>
      </c>
      <c r="AB54">
        <v>16.5</v>
      </c>
      <c r="AC54" s="8" t="s">
        <v>1036</v>
      </c>
      <c r="AD54" s="8" t="s">
        <v>1048</v>
      </c>
      <c r="AE54" s="8">
        <v>172</v>
      </c>
      <c r="AF54" s="8">
        <v>5</v>
      </c>
      <c r="AG54" s="8" t="s">
        <v>1036</v>
      </c>
      <c r="AH54" s="8" t="s">
        <v>1032</v>
      </c>
      <c r="AI54" s="11">
        <v>1.0900000000000001</v>
      </c>
      <c r="AJ54" s="11">
        <v>4.0000000000000009</v>
      </c>
      <c r="AK54" s="11">
        <v>67.55901999999999</v>
      </c>
      <c r="AL54" s="11">
        <v>67.316486185529286</v>
      </c>
      <c r="AM54" s="11">
        <v>47.197300000000006</v>
      </c>
      <c r="AN54" s="8" t="s">
        <v>1032</v>
      </c>
      <c r="AO54" s="8" t="s">
        <v>1032</v>
      </c>
    </row>
    <row r="55" spans="1:41" x14ac:dyDescent="0.25">
      <c r="B55" t="s">
        <v>192</v>
      </c>
      <c r="C55" t="s">
        <v>223</v>
      </c>
      <c r="D55" t="s">
        <v>12</v>
      </c>
      <c r="E55" t="s">
        <v>14</v>
      </c>
      <c r="F55">
        <v>2</v>
      </c>
      <c r="G55">
        <v>291.5</v>
      </c>
      <c r="H55">
        <v>532.70000000000005</v>
      </c>
      <c r="I55">
        <v>54.7</v>
      </c>
      <c r="L55">
        <f t="shared" si="25"/>
        <v>0</v>
      </c>
      <c r="M55">
        <f t="shared" si="14"/>
        <v>0</v>
      </c>
      <c r="N55">
        <f t="shared" si="19"/>
        <v>0</v>
      </c>
      <c r="O55">
        <f t="shared" si="20"/>
        <v>0</v>
      </c>
      <c r="P55">
        <f t="shared" si="21"/>
        <v>0</v>
      </c>
      <c r="Q55">
        <f t="shared" si="22"/>
        <v>0</v>
      </c>
      <c r="R55">
        <f t="shared" si="17"/>
        <v>0</v>
      </c>
      <c r="S55">
        <f t="shared" si="24"/>
        <v>0</v>
      </c>
      <c r="T55">
        <f t="shared" si="23"/>
        <v>0</v>
      </c>
      <c r="U55">
        <f t="shared" si="18"/>
        <v>0</v>
      </c>
      <c r="V55">
        <f t="shared" si="26"/>
        <v>0</v>
      </c>
      <c r="W55">
        <f t="shared" si="16"/>
        <v>0</v>
      </c>
      <c r="X55" t="s">
        <v>224</v>
      </c>
      <c r="Y55" t="s">
        <v>225</v>
      </c>
      <c r="Z55" s="3" t="s">
        <v>222</v>
      </c>
      <c r="AA55" t="s">
        <v>218</v>
      </c>
      <c r="AB55">
        <v>16.5</v>
      </c>
      <c r="AC55" s="8" t="s">
        <v>1036</v>
      </c>
      <c r="AD55" s="8" t="s">
        <v>1048</v>
      </c>
      <c r="AE55" s="8">
        <v>172</v>
      </c>
      <c r="AF55" s="8">
        <v>5</v>
      </c>
      <c r="AG55" s="8" t="s">
        <v>1036</v>
      </c>
      <c r="AH55" s="8" t="s">
        <v>1032</v>
      </c>
      <c r="AI55" s="11">
        <v>1.0900000000000001</v>
      </c>
      <c r="AJ55" s="11">
        <v>4.0000000000000009</v>
      </c>
      <c r="AK55" s="11">
        <v>67.55901999999999</v>
      </c>
      <c r="AL55" s="11">
        <v>67.316486185529286</v>
      </c>
      <c r="AM55" s="11">
        <v>47.197300000000006</v>
      </c>
      <c r="AN55" s="8" t="s">
        <v>1032</v>
      </c>
      <c r="AO55" s="8" t="s">
        <v>1032</v>
      </c>
    </row>
    <row r="56" spans="1:41" x14ac:dyDescent="0.25">
      <c r="A56" s="2"/>
      <c r="B56" s="2" t="s">
        <v>192</v>
      </c>
      <c r="C56" s="2" t="s">
        <v>226</v>
      </c>
      <c r="D56" s="2" t="s">
        <v>12</v>
      </c>
      <c r="E56" s="2" t="s">
        <v>14</v>
      </c>
      <c r="F56" s="2">
        <v>4</v>
      </c>
      <c r="G56" s="2">
        <v>309.5</v>
      </c>
      <c r="H56" s="2">
        <v>589.5</v>
      </c>
      <c r="I56" s="2">
        <v>52.5</v>
      </c>
      <c r="J56" s="2"/>
      <c r="K56" s="2"/>
      <c r="L56" s="2">
        <f t="shared" si="25"/>
        <v>0</v>
      </c>
      <c r="M56" s="2">
        <f t="shared" si="14"/>
        <v>0</v>
      </c>
      <c r="N56" s="2">
        <f t="shared" si="19"/>
        <v>0</v>
      </c>
      <c r="O56" s="2">
        <f t="shared" si="20"/>
        <v>0</v>
      </c>
      <c r="P56" s="2">
        <f t="shared" si="21"/>
        <v>0</v>
      </c>
      <c r="Q56" s="2">
        <f t="shared" si="22"/>
        <v>0</v>
      </c>
      <c r="R56" s="2">
        <f t="shared" si="17"/>
        <v>0</v>
      </c>
      <c r="S56" s="2">
        <f t="shared" si="24"/>
        <v>0</v>
      </c>
      <c r="T56" s="2">
        <f t="shared" si="23"/>
        <v>0</v>
      </c>
      <c r="U56" s="2">
        <f t="shared" si="18"/>
        <v>0</v>
      </c>
      <c r="V56" s="2">
        <f t="shared" si="26"/>
        <v>0</v>
      </c>
      <c r="W56" s="2">
        <f t="shared" si="16"/>
        <v>0</v>
      </c>
      <c r="X56" s="2" t="s">
        <v>227</v>
      </c>
      <c r="Y56" s="2" t="s">
        <v>228</v>
      </c>
      <c r="Z56" s="6" t="s">
        <v>229</v>
      </c>
      <c r="AA56" s="2" t="s">
        <v>197</v>
      </c>
      <c r="AB56" s="2">
        <v>16.5</v>
      </c>
      <c r="AC56" s="9" t="s">
        <v>1036</v>
      </c>
      <c r="AD56" s="9" t="s">
        <v>1048</v>
      </c>
      <c r="AE56" s="9">
        <v>172</v>
      </c>
      <c r="AF56" s="9">
        <v>5</v>
      </c>
      <c r="AG56" s="9" t="s">
        <v>1036</v>
      </c>
      <c r="AH56" s="9" t="s">
        <v>1032</v>
      </c>
      <c r="AI56" s="19">
        <v>1.0900000000000001</v>
      </c>
      <c r="AJ56" s="19">
        <v>4.0000000000000009</v>
      </c>
      <c r="AK56" s="19">
        <v>67.55901999999999</v>
      </c>
      <c r="AL56" s="19">
        <v>67.316486185529286</v>
      </c>
      <c r="AM56" s="19">
        <v>47.197300000000006</v>
      </c>
      <c r="AN56" s="9" t="s">
        <v>1032</v>
      </c>
      <c r="AO56" s="9" t="s">
        <v>1032</v>
      </c>
    </row>
    <row r="57" spans="1:41" ht="15.75" x14ac:dyDescent="0.25">
      <c r="A57" s="7">
        <v>44321</v>
      </c>
      <c r="B57" t="s">
        <v>230</v>
      </c>
      <c r="C57" t="s">
        <v>232</v>
      </c>
      <c r="D57" t="s">
        <v>231</v>
      </c>
      <c r="E57" t="s">
        <v>14</v>
      </c>
      <c r="F57">
        <v>2</v>
      </c>
      <c r="G57">
        <v>257</v>
      </c>
      <c r="H57">
        <v>492.6</v>
      </c>
      <c r="I57">
        <v>52.2</v>
      </c>
      <c r="K57" t="s">
        <v>41</v>
      </c>
      <c r="L57">
        <f t="shared" si="25"/>
        <v>1</v>
      </c>
      <c r="M57">
        <f t="shared" si="14"/>
        <v>0</v>
      </c>
      <c r="N57">
        <f t="shared" si="19"/>
        <v>0</v>
      </c>
      <c r="O57">
        <f t="shared" si="20"/>
        <v>0</v>
      </c>
      <c r="P57">
        <f t="shared" si="21"/>
        <v>0</v>
      </c>
      <c r="Q57">
        <f t="shared" si="22"/>
        <v>1</v>
      </c>
      <c r="R57">
        <f t="shared" si="17"/>
        <v>0</v>
      </c>
      <c r="S57">
        <f t="shared" si="24"/>
        <v>0</v>
      </c>
      <c r="T57">
        <f t="shared" si="23"/>
        <v>0</v>
      </c>
      <c r="U57">
        <f t="shared" si="18"/>
        <v>0</v>
      </c>
      <c r="V57">
        <f t="shared" si="26"/>
        <v>0</v>
      </c>
      <c r="W57">
        <f t="shared" si="16"/>
        <v>0</v>
      </c>
      <c r="X57" t="s">
        <v>233</v>
      </c>
      <c r="Y57" t="s">
        <v>234</v>
      </c>
      <c r="Z57" s="3" t="s">
        <v>235</v>
      </c>
      <c r="AA57" t="s">
        <v>236</v>
      </c>
      <c r="AB57">
        <f>(24-13)+9</f>
        <v>20</v>
      </c>
      <c r="AC57" s="8" t="s">
        <v>1036</v>
      </c>
      <c r="AD57" s="24" t="s">
        <v>1051</v>
      </c>
      <c r="AE57" s="8">
        <v>172</v>
      </c>
      <c r="AF57" s="8">
        <v>4</v>
      </c>
      <c r="AG57" s="8" t="s">
        <v>1036</v>
      </c>
      <c r="AH57" s="8" t="s">
        <v>1032</v>
      </c>
      <c r="AI57" s="11">
        <v>0.31</v>
      </c>
      <c r="AJ57" s="11">
        <v>0</v>
      </c>
      <c r="AK57" s="11">
        <v>61.537399999999998</v>
      </c>
      <c r="AL57" s="11">
        <v>53.73620329692509</v>
      </c>
      <c r="AM57" s="11">
        <v>26.9358</v>
      </c>
      <c r="AN57" s="8" t="s">
        <v>1047</v>
      </c>
      <c r="AO57" s="8" t="s">
        <v>1047</v>
      </c>
    </row>
    <row r="58" spans="1:41" x14ac:dyDescent="0.25">
      <c r="B58" t="s">
        <v>230</v>
      </c>
      <c r="C58" t="s">
        <v>237</v>
      </c>
      <c r="D58" t="s">
        <v>231</v>
      </c>
      <c r="E58" t="s">
        <v>14</v>
      </c>
      <c r="F58">
        <v>4</v>
      </c>
      <c r="G58">
        <v>273</v>
      </c>
      <c r="H58">
        <v>492.6</v>
      </c>
      <c r="I58">
        <v>55.4</v>
      </c>
      <c r="L58">
        <f t="shared" si="25"/>
        <v>0</v>
      </c>
      <c r="M58">
        <f t="shared" si="14"/>
        <v>0</v>
      </c>
      <c r="N58">
        <f t="shared" si="19"/>
        <v>0</v>
      </c>
      <c r="O58">
        <f t="shared" si="20"/>
        <v>0</v>
      </c>
      <c r="P58">
        <f t="shared" si="21"/>
        <v>0</v>
      </c>
      <c r="Q58">
        <f t="shared" si="22"/>
        <v>0</v>
      </c>
      <c r="R58">
        <f t="shared" si="17"/>
        <v>0</v>
      </c>
      <c r="S58">
        <f t="shared" si="24"/>
        <v>0</v>
      </c>
      <c r="T58">
        <f t="shared" si="23"/>
        <v>0</v>
      </c>
      <c r="U58">
        <f t="shared" si="18"/>
        <v>0</v>
      </c>
      <c r="V58">
        <f t="shared" si="26"/>
        <v>0</v>
      </c>
      <c r="W58">
        <f t="shared" si="16"/>
        <v>0</v>
      </c>
      <c r="X58" t="s">
        <v>238</v>
      </c>
      <c r="Y58" t="s">
        <v>239</v>
      </c>
      <c r="Z58" s="3" t="s">
        <v>235</v>
      </c>
      <c r="AA58" t="s">
        <v>236</v>
      </c>
      <c r="AB58">
        <f t="shared" ref="AB58:AB63" si="27">(24-13)+9</f>
        <v>20</v>
      </c>
      <c r="AC58" s="8" t="s">
        <v>1036</v>
      </c>
      <c r="AD58" s="24" t="s">
        <v>1051</v>
      </c>
      <c r="AE58" s="8">
        <v>172</v>
      </c>
      <c r="AF58" s="8">
        <v>4</v>
      </c>
      <c r="AG58" s="8" t="s">
        <v>1036</v>
      </c>
      <c r="AH58" s="8" t="s">
        <v>1032</v>
      </c>
      <c r="AI58" s="11">
        <v>0.31</v>
      </c>
      <c r="AJ58" s="11">
        <v>0</v>
      </c>
      <c r="AK58" s="11">
        <v>61.537399999999998</v>
      </c>
      <c r="AL58" s="11">
        <v>53.73620329692509</v>
      </c>
      <c r="AM58" s="11">
        <v>26.9358</v>
      </c>
      <c r="AN58" s="8" t="s">
        <v>1047</v>
      </c>
      <c r="AO58" s="8" t="s">
        <v>1047</v>
      </c>
    </row>
    <row r="59" spans="1:41" x14ac:dyDescent="0.25">
      <c r="B59" t="s">
        <v>230</v>
      </c>
      <c r="C59" t="s">
        <v>240</v>
      </c>
      <c r="D59" t="s">
        <v>231</v>
      </c>
      <c r="E59" t="s">
        <v>14</v>
      </c>
      <c r="F59">
        <v>1</v>
      </c>
      <c r="G59">
        <v>218.5</v>
      </c>
      <c r="H59">
        <v>411.8</v>
      </c>
      <c r="I59">
        <v>53.1</v>
      </c>
      <c r="L59">
        <f t="shared" si="25"/>
        <v>0</v>
      </c>
      <c r="M59">
        <f t="shared" si="14"/>
        <v>0</v>
      </c>
      <c r="N59">
        <f t="shared" si="19"/>
        <v>0</v>
      </c>
      <c r="O59">
        <f t="shared" si="20"/>
        <v>0</v>
      </c>
      <c r="P59">
        <f t="shared" si="21"/>
        <v>0</v>
      </c>
      <c r="Q59">
        <f t="shared" si="22"/>
        <v>0</v>
      </c>
      <c r="R59">
        <f t="shared" si="17"/>
        <v>0</v>
      </c>
      <c r="S59">
        <f t="shared" si="24"/>
        <v>0</v>
      </c>
      <c r="T59">
        <f t="shared" si="23"/>
        <v>0</v>
      </c>
      <c r="U59">
        <f t="shared" si="18"/>
        <v>0</v>
      </c>
      <c r="V59">
        <f t="shared" si="26"/>
        <v>0</v>
      </c>
      <c r="W59">
        <f t="shared" si="16"/>
        <v>0</v>
      </c>
      <c r="X59" t="s">
        <v>241</v>
      </c>
      <c r="Y59" t="s">
        <v>242</v>
      </c>
      <c r="Z59" s="3" t="s">
        <v>235</v>
      </c>
      <c r="AA59" t="s">
        <v>243</v>
      </c>
      <c r="AB59">
        <f t="shared" si="27"/>
        <v>20</v>
      </c>
      <c r="AC59" s="8" t="s">
        <v>1036</v>
      </c>
      <c r="AD59" s="24" t="s">
        <v>1051</v>
      </c>
      <c r="AE59" s="8">
        <v>172</v>
      </c>
      <c r="AF59" s="8">
        <v>4</v>
      </c>
      <c r="AG59" s="8" t="s">
        <v>1036</v>
      </c>
      <c r="AH59" s="8" t="s">
        <v>1032</v>
      </c>
      <c r="AI59" s="11">
        <v>0.31</v>
      </c>
      <c r="AJ59" s="11">
        <v>0</v>
      </c>
      <c r="AK59" s="11">
        <v>61.537399999999998</v>
      </c>
      <c r="AL59" s="11">
        <v>53.73620329692509</v>
      </c>
      <c r="AM59" s="11">
        <v>26.9358</v>
      </c>
      <c r="AN59" s="8" t="s">
        <v>1047</v>
      </c>
      <c r="AO59" s="8" t="s">
        <v>1047</v>
      </c>
    </row>
    <row r="60" spans="1:41" x14ac:dyDescent="0.25">
      <c r="B60" t="s">
        <v>230</v>
      </c>
      <c r="C60" t="s">
        <v>244</v>
      </c>
      <c r="D60" t="s">
        <v>231</v>
      </c>
      <c r="E60" t="s">
        <v>14</v>
      </c>
      <c r="F60">
        <v>1</v>
      </c>
      <c r="G60">
        <v>222</v>
      </c>
      <c r="H60">
        <v>415.4</v>
      </c>
      <c r="I60">
        <v>53.4</v>
      </c>
      <c r="K60" t="s">
        <v>41</v>
      </c>
      <c r="L60">
        <f t="shared" si="25"/>
        <v>1</v>
      </c>
      <c r="M60">
        <f t="shared" si="14"/>
        <v>0</v>
      </c>
      <c r="N60">
        <f t="shared" si="19"/>
        <v>0</v>
      </c>
      <c r="O60">
        <f t="shared" si="20"/>
        <v>0</v>
      </c>
      <c r="P60">
        <f t="shared" si="21"/>
        <v>0</v>
      </c>
      <c r="Q60">
        <f t="shared" si="22"/>
        <v>1</v>
      </c>
      <c r="R60">
        <f t="shared" si="17"/>
        <v>0</v>
      </c>
      <c r="S60">
        <f t="shared" si="24"/>
        <v>0</v>
      </c>
      <c r="T60">
        <f t="shared" si="23"/>
        <v>0</v>
      </c>
      <c r="U60">
        <f t="shared" si="18"/>
        <v>0</v>
      </c>
      <c r="V60">
        <f t="shared" si="26"/>
        <v>0</v>
      </c>
      <c r="W60">
        <f t="shared" si="16"/>
        <v>0</v>
      </c>
      <c r="X60" t="s">
        <v>245</v>
      </c>
      <c r="Y60" t="s">
        <v>246</v>
      </c>
      <c r="Z60" s="3" t="s">
        <v>247</v>
      </c>
      <c r="AA60" t="s">
        <v>248</v>
      </c>
      <c r="AB60">
        <f t="shared" si="27"/>
        <v>20</v>
      </c>
      <c r="AC60" s="8" t="s">
        <v>1036</v>
      </c>
      <c r="AD60" s="24" t="s">
        <v>1051</v>
      </c>
      <c r="AE60" s="8">
        <v>172</v>
      </c>
      <c r="AF60" s="8">
        <v>4</v>
      </c>
      <c r="AG60" s="8" t="s">
        <v>1036</v>
      </c>
      <c r="AH60" s="8" t="s">
        <v>1032</v>
      </c>
      <c r="AI60" s="11">
        <v>0.31</v>
      </c>
      <c r="AJ60" s="11">
        <v>0</v>
      </c>
      <c r="AK60" s="11">
        <v>61.537399999999998</v>
      </c>
      <c r="AL60" s="11">
        <v>53.73620329692509</v>
      </c>
      <c r="AM60" s="11">
        <v>26.9358</v>
      </c>
      <c r="AN60" s="8" t="s">
        <v>1047</v>
      </c>
      <c r="AO60" s="8" t="s">
        <v>1047</v>
      </c>
    </row>
    <row r="61" spans="1:41" x14ac:dyDescent="0.25">
      <c r="B61" t="s">
        <v>230</v>
      </c>
      <c r="C61" t="s">
        <v>249</v>
      </c>
      <c r="D61" t="s">
        <v>231</v>
      </c>
      <c r="E61" t="s">
        <v>14</v>
      </c>
      <c r="F61">
        <v>2</v>
      </c>
      <c r="G61">
        <v>232.5</v>
      </c>
      <c r="H61">
        <v>416</v>
      </c>
      <c r="I61">
        <v>55.9</v>
      </c>
      <c r="L61">
        <f t="shared" si="25"/>
        <v>0</v>
      </c>
      <c r="M61">
        <f t="shared" si="14"/>
        <v>0</v>
      </c>
      <c r="N61">
        <f t="shared" si="19"/>
        <v>0</v>
      </c>
      <c r="O61">
        <f t="shared" si="20"/>
        <v>0</v>
      </c>
      <c r="P61">
        <f t="shared" si="21"/>
        <v>0</v>
      </c>
      <c r="Q61">
        <f t="shared" si="22"/>
        <v>0</v>
      </c>
      <c r="R61">
        <f t="shared" si="17"/>
        <v>0</v>
      </c>
      <c r="S61">
        <f t="shared" si="24"/>
        <v>0</v>
      </c>
      <c r="T61">
        <f t="shared" si="23"/>
        <v>0</v>
      </c>
      <c r="U61">
        <f t="shared" si="18"/>
        <v>0</v>
      </c>
      <c r="V61">
        <f t="shared" si="26"/>
        <v>0</v>
      </c>
      <c r="W61">
        <f t="shared" si="16"/>
        <v>0</v>
      </c>
      <c r="X61" t="s">
        <v>250</v>
      </c>
      <c r="Y61" t="s">
        <v>251</v>
      </c>
      <c r="Z61" s="3" t="s">
        <v>252</v>
      </c>
      <c r="AA61" t="s">
        <v>236</v>
      </c>
      <c r="AB61">
        <f t="shared" si="27"/>
        <v>20</v>
      </c>
      <c r="AC61" s="8" t="s">
        <v>1036</v>
      </c>
      <c r="AD61" s="24" t="s">
        <v>1051</v>
      </c>
      <c r="AE61" s="8">
        <v>172</v>
      </c>
      <c r="AF61" s="8">
        <v>4</v>
      </c>
      <c r="AG61" s="8" t="s">
        <v>1036</v>
      </c>
      <c r="AH61" s="8" t="s">
        <v>1032</v>
      </c>
      <c r="AI61" s="11">
        <v>0.31</v>
      </c>
      <c r="AJ61" s="11">
        <v>0</v>
      </c>
      <c r="AK61" s="11">
        <v>61.537399999999998</v>
      </c>
      <c r="AL61" s="11">
        <v>53.73620329692509</v>
      </c>
      <c r="AM61" s="11">
        <v>26.9358</v>
      </c>
      <c r="AN61" s="8" t="s">
        <v>1047</v>
      </c>
      <c r="AO61" s="8" t="s">
        <v>1047</v>
      </c>
    </row>
    <row r="62" spans="1:41" x14ac:dyDescent="0.25">
      <c r="B62" t="s">
        <v>230</v>
      </c>
      <c r="C62" t="s">
        <v>253</v>
      </c>
      <c r="D62" t="s">
        <v>231</v>
      </c>
      <c r="E62" t="s">
        <v>14</v>
      </c>
      <c r="F62">
        <v>1</v>
      </c>
      <c r="G62">
        <v>225</v>
      </c>
      <c r="H62">
        <v>424.8</v>
      </c>
      <c r="I62">
        <v>53</v>
      </c>
      <c r="K62" t="s">
        <v>1058</v>
      </c>
      <c r="L62">
        <f t="shared" si="25"/>
        <v>3</v>
      </c>
      <c r="M62">
        <f t="shared" si="14"/>
        <v>0</v>
      </c>
      <c r="N62">
        <f t="shared" si="19"/>
        <v>0</v>
      </c>
      <c r="O62">
        <f t="shared" si="20"/>
        <v>0</v>
      </c>
      <c r="P62">
        <f t="shared" si="21"/>
        <v>0</v>
      </c>
      <c r="Q62">
        <v>1</v>
      </c>
      <c r="R62">
        <f t="shared" si="17"/>
        <v>0</v>
      </c>
      <c r="S62">
        <f t="shared" si="24"/>
        <v>0</v>
      </c>
      <c r="T62">
        <v>1</v>
      </c>
      <c r="U62">
        <v>1</v>
      </c>
      <c r="V62">
        <f t="shared" si="26"/>
        <v>0</v>
      </c>
      <c r="W62">
        <f t="shared" si="16"/>
        <v>0</v>
      </c>
      <c r="X62" t="s">
        <v>254</v>
      </c>
      <c r="Y62" t="s">
        <v>255</v>
      </c>
      <c r="Z62" s="3" t="s">
        <v>256</v>
      </c>
      <c r="AA62" t="s">
        <v>248</v>
      </c>
      <c r="AB62">
        <f t="shared" si="27"/>
        <v>20</v>
      </c>
      <c r="AC62" s="8" t="s">
        <v>1036</v>
      </c>
      <c r="AD62" s="24" t="s">
        <v>1051</v>
      </c>
      <c r="AE62" s="8">
        <v>172</v>
      </c>
      <c r="AF62" s="8">
        <v>4</v>
      </c>
      <c r="AG62" s="8" t="s">
        <v>1036</v>
      </c>
      <c r="AH62" s="8" t="s">
        <v>1032</v>
      </c>
      <c r="AI62" s="11">
        <v>0.31</v>
      </c>
      <c r="AJ62" s="11">
        <v>0</v>
      </c>
      <c r="AK62" s="11">
        <v>61.537399999999998</v>
      </c>
      <c r="AL62" s="11">
        <v>53.73620329692509</v>
      </c>
      <c r="AM62" s="11">
        <v>26.9358</v>
      </c>
      <c r="AN62" s="8" t="s">
        <v>1047</v>
      </c>
      <c r="AO62" s="8" t="s">
        <v>1047</v>
      </c>
    </row>
    <row r="63" spans="1:41" x14ac:dyDescent="0.25">
      <c r="A63" s="2"/>
      <c r="B63" s="2" t="s">
        <v>230</v>
      </c>
      <c r="C63" s="2" t="s">
        <v>257</v>
      </c>
      <c r="D63" s="2" t="s">
        <v>231</v>
      </c>
      <c r="E63" s="2" t="s">
        <v>14</v>
      </c>
      <c r="F63" s="2">
        <v>1</v>
      </c>
      <c r="G63" s="2">
        <v>197</v>
      </c>
      <c r="H63" s="2">
        <v>378.9</v>
      </c>
      <c r="I63" s="2">
        <v>52</v>
      </c>
      <c r="J63" s="2"/>
      <c r="K63" s="2"/>
      <c r="L63" s="2">
        <f t="shared" si="25"/>
        <v>0</v>
      </c>
      <c r="M63" s="2">
        <f t="shared" si="14"/>
        <v>0</v>
      </c>
      <c r="N63" s="2">
        <f t="shared" si="19"/>
        <v>0</v>
      </c>
      <c r="O63" s="2">
        <f t="shared" si="20"/>
        <v>0</v>
      </c>
      <c r="P63" s="2">
        <f t="shared" si="21"/>
        <v>0</v>
      </c>
      <c r="Q63" s="2">
        <f t="shared" si="22"/>
        <v>0</v>
      </c>
      <c r="R63" s="2">
        <f t="shared" si="17"/>
        <v>0</v>
      </c>
      <c r="S63" s="2">
        <f t="shared" si="24"/>
        <v>0</v>
      </c>
      <c r="T63" s="2">
        <f t="shared" si="23"/>
        <v>0</v>
      </c>
      <c r="U63" s="2">
        <f t="shared" si="18"/>
        <v>0</v>
      </c>
      <c r="V63" s="2">
        <f t="shared" si="26"/>
        <v>0</v>
      </c>
      <c r="W63" s="2">
        <f t="shared" si="16"/>
        <v>0</v>
      </c>
      <c r="X63" s="2" t="s">
        <v>258</v>
      </c>
      <c r="Y63" s="2" t="s">
        <v>259</v>
      </c>
      <c r="Z63" s="6" t="s">
        <v>256</v>
      </c>
      <c r="AA63" s="2" t="s">
        <v>260</v>
      </c>
      <c r="AB63" s="2">
        <f t="shared" si="27"/>
        <v>20</v>
      </c>
      <c r="AC63" s="9" t="s">
        <v>1036</v>
      </c>
      <c r="AD63" s="25" t="s">
        <v>1051</v>
      </c>
      <c r="AE63" s="9">
        <v>172</v>
      </c>
      <c r="AF63" s="9">
        <v>4</v>
      </c>
      <c r="AG63" s="9" t="s">
        <v>1036</v>
      </c>
      <c r="AH63" s="9" t="s">
        <v>1032</v>
      </c>
      <c r="AI63" s="19">
        <v>0.31</v>
      </c>
      <c r="AJ63" s="19">
        <v>0</v>
      </c>
      <c r="AK63" s="19">
        <v>61.537399999999998</v>
      </c>
      <c r="AL63" s="19">
        <v>53.73620329692509</v>
      </c>
      <c r="AM63" s="19">
        <v>26.9358</v>
      </c>
      <c r="AN63" s="9" t="s">
        <v>1047</v>
      </c>
      <c r="AO63" s="9" t="s">
        <v>1047</v>
      </c>
    </row>
    <row r="64" spans="1:41" ht="15.75" x14ac:dyDescent="0.25">
      <c r="A64" s="7">
        <v>44417</v>
      </c>
      <c r="B64" t="s">
        <v>261</v>
      </c>
      <c r="C64" t="s">
        <v>54</v>
      </c>
      <c r="D64" t="s">
        <v>231</v>
      </c>
      <c r="E64" t="s">
        <v>14</v>
      </c>
      <c r="F64">
        <v>1</v>
      </c>
      <c r="G64">
        <v>227</v>
      </c>
      <c r="H64">
        <v>410.7</v>
      </c>
      <c r="I64">
        <v>55.3</v>
      </c>
      <c r="L64">
        <f t="shared" si="25"/>
        <v>0</v>
      </c>
      <c r="M64">
        <f t="shared" si="14"/>
        <v>0</v>
      </c>
      <c r="N64">
        <f t="shared" si="19"/>
        <v>0</v>
      </c>
      <c r="O64">
        <f t="shared" si="20"/>
        <v>0</v>
      </c>
      <c r="P64">
        <f t="shared" si="21"/>
        <v>0</v>
      </c>
      <c r="Q64">
        <f t="shared" si="22"/>
        <v>0</v>
      </c>
      <c r="R64">
        <f t="shared" si="17"/>
        <v>0</v>
      </c>
      <c r="S64">
        <f t="shared" si="24"/>
        <v>0</v>
      </c>
      <c r="T64">
        <f t="shared" si="23"/>
        <v>0</v>
      </c>
      <c r="U64">
        <f t="shared" si="18"/>
        <v>0</v>
      </c>
      <c r="V64">
        <f t="shared" si="26"/>
        <v>0</v>
      </c>
      <c r="W64">
        <f t="shared" si="16"/>
        <v>0</v>
      </c>
      <c r="X64" t="s">
        <v>262</v>
      </c>
      <c r="Y64" t="s">
        <v>263</v>
      </c>
      <c r="Z64" s="3" t="s">
        <v>264</v>
      </c>
      <c r="AA64" t="s">
        <v>265</v>
      </c>
      <c r="AB64">
        <f>(24-12.5)+11.5</f>
        <v>23</v>
      </c>
      <c r="AC64" s="8" t="s">
        <v>1036</v>
      </c>
      <c r="AD64" s="8" t="s">
        <v>1052</v>
      </c>
      <c r="AE64" s="8">
        <v>172</v>
      </c>
      <c r="AF64" s="8">
        <v>3.5</v>
      </c>
      <c r="AG64" s="8" t="s">
        <v>1036</v>
      </c>
      <c r="AH64" s="8" t="s">
        <v>1032</v>
      </c>
      <c r="AI64" s="11">
        <v>0.14000000000000001</v>
      </c>
      <c r="AJ64" s="11">
        <v>24.399999999999991</v>
      </c>
      <c r="AK64" s="11">
        <v>55.300840000000001</v>
      </c>
      <c r="AL64" s="11">
        <v>49.454813039893523</v>
      </c>
      <c r="AM64" s="11">
        <v>12.748799999999999</v>
      </c>
      <c r="AN64" s="8" t="s">
        <v>1032</v>
      </c>
      <c r="AO64" s="8" t="s">
        <v>1047</v>
      </c>
    </row>
    <row r="65" spans="1:41" x14ac:dyDescent="0.25">
      <c r="B65" t="s">
        <v>261</v>
      </c>
      <c r="C65" t="s">
        <v>59</v>
      </c>
      <c r="D65" t="s">
        <v>231</v>
      </c>
      <c r="E65" t="s">
        <v>14</v>
      </c>
      <c r="F65">
        <v>1</v>
      </c>
      <c r="G65">
        <v>244</v>
      </c>
      <c r="H65">
        <v>451.4</v>
      </c>
      <c r="I65">
        <v>54.1</v>
      </c>
      <c r="K65" t="s">
        <v>41</v>
      </c>
      <c r="L65">
        <f t="shared" si="25"/>
        <v>1</v>
      </c>
      <c r="M65">
        <f t="shared" si="14"/>
        <v>0</v>
      </c>
      <c r="N65">
        <f t="shared" si="19"/>
        <v>0</v>
      </c>
      <c r="O65">
        <f t="shared" si="20"/>
        <v>0</v>
      </c>
      <c r="P65">
        <f t="shared" si="21"/>
        <v>0</v>
      </c>
      <c r="Q65">
        <f t="shared" si="22"/>
        <v>1</v>
      </c>
      <c r="R65">
        <f t="shared" si="17"/>
        <v>0</v>
      </c>
      <c r="S65">
        <f t="shared" si="24"/>
        <v>0</v>
      </c>
      <c r="T65">
        <f t="shared" si="23"/>
        <v>0</v>
      </c>
      <c r="U65">
        <f t="shared" si="18"/>
        <v>0</v>
      </c>
      <c r="V65">
        <f t="shared" si="26"/>
        <v>0</v>
      </c>
      <c r="W65">
        <f t="shared" si="16"/>
        <v>0</v>
      </c>
      <c r="X65" t="s">
        <v>266</v>
      </c>
      <c r="Y65" t="s">
        <v>263</v>
      </c>
      <c r="Z65" s="3" t="s">
        <v>267</v>
      </c>
      <c r="AA65" t="s">
        <v>268</v>
      </c>
      <c r="AB65">
        <v>23</v>
      </c>
      <c r="AC65" s="8" t="s">
        <v>1036</v>
      </c>
      <c r="AD65" s="8" t="s">
        <v>1052</v>
      </c>
      <c r="AE65" s="8">
        <v>172</v>
      </c>
      <c r="AF65" s="8">
        <v>3.5</v>
      </c>
      <c r="AG65" s="8" t="s">
        <v>1036</v>
      </c>
      <c r="AH65" s="8" t="s">
        <v>1032</v>
      </c>
      <c r="AI65" s="11">
        <v>0.14000000000000001</v>
      </c>
      <c r="AJ65" s="11">
        <v>24.399999999999991</v>
      </c>
      <c r="AK65" s="11">
        <v>55.300840000000001</v>
      </c>
      <c r="AL65" s="11">
        <v>49.454813039893523</v>
      </c>
      <c r="AM65" s="11">
        <v>12.748799999999999</v>
      </c>
      <c r="AN65" s="8" t="s">
        <v>1032</v>
      </c>
      <c r="AO65" s="8" t="s">
        <v>1047</v>
      </c>
    </row>
    <row r="66" spans="1:41" x14ac:dyDescent="0.25">
      <c r="B66" t="s">
        <v>261</v>
      </c>
      <c r="C66" t="s">
        <v>62</v>
      </c>
      <c r="D66" t="s">
        <v>231</v>
      </c>
      <c r="E66" t="s">
        <v>14</v>
      </c>
      <c r="F66">
        <v>2</v>
      </c>
      <c r="G66">
        <v>309.5</v>
      </c>
      <c r="H66">
        <v>559.29999999999995</v>
      </c>
      <c r="I66">
        <v>55.3</v>
      </c>
      <c r="L66">
        <f t="shared" si="25"/>
        <v>0</v>
      </c>
      <c r="M66">
        <f t="shared" si="14"/>
        <v>0</v>
      </c>
      <c r="N66">
        <f t="shared" si="19"/>
        <v>0</v>
      </c>
      <c r="O66">
        <f t="shared" si="20"/>
        <v>0</v>
      </c>
      <c r="P66">
        <f t="shared" si="21"/>
        <v>0</v>
      </c>
      <c r="Q66">
        <f t="shared" si="22"/>
        <v>0</v>
      </c>
      <c r="R66">
        <f t="shared" si="17"/>
        <v>0</v>
      </c>
      <c r="S66">
        <f t="shared" si="24"/>
        <v>0</v>
      </c>
      <c r="T66">
        <f t="shared" si="23"/>
        <v>0</v>
      </c>
      <c r="U66">
        <f t="shared" si="18"/>
        <v>0</v>
      </c>
      <c r="V66">
        <f t="shared" si="26"/>
        <v>0</v>
      </c>
      <c r="W66">
        <f t="shared" si="16"/>
        <v>0</v>
      </c>
      <c r="X66" t="s">
        <v>269</v>
      </c>
      <c r="Y66" t="s">
        <v>270</v>
      </c>
      <c r="Z66" s="3" t="s">
        <v>271</v>
      </c>
      <c r="AA66" t="s">
        <v>272</v>
      </c>
      <c r="AB66">
        <v>23</v>
      </c>
      <c r="AC66" s="8" t="s">
        <v>1036</v>
      </c>
      <c r="AD66" s="8" t="s">
        <v>1052</v>
      </c>
      <c r="AE66" s="8">
        <v>172</v>
      </c>
      <c r="AF66" s="8">
        <v>3.5</v>
      </c>
      <c r="AG66" s="8" t="s">
        <v>1036</v>
      </c>
      <c r="AH66" s="8" t="s">
        <v>1032</v>
      </c>
      <c r="AI66" s="11">
        <v>0.14000000000000001</v>
      </c>
      <c r="AJ66" s="11">
        <v>24.399999999999991</v>
      </c>
      <c r="AK66" s="11">
        <v>55.300840000000001</v>
      </c>
      <c r="AL66" s="11">
        <v>49.454813039893523</v>
      </c>
      <c r="AM66" s="11">
        <v>12.748799999999999</v>
      </c>
      <c r="AN66" s="8" t="s">
        <v>1032</v>
      </c>
      <c r="AO66" s="8" t="s">
        <v>1047</v>
      </c>
    </row>
    <row r="67" spans="1:41" x14ac:dyDescent="0.25">
      <c r="B67" t="s">
        <v>261</v>
      </c>
      <c r="C67" t="s">
        <v>67</v>
      </c>
      <c r="D67" t="s">
        <v>231</v>
      </c>
      <c r="E67" t="s">
        <v>14</v>
      </c>
      <c r="F67">
        <v>1</v>
      </c>
      <c r="G67">
        <v>253</v>
      </c>
      <c r="H67">
        <v>456.1</v>
      </c>
      <c r="I67">
        <v>55.5</v>
      </c>
      <c r="L67">
        <f t="shared" si="25"/>
        <v>0</v>
      </c>
      <c r="M67">
        <f t="shared" si="14"/>
        <v>0</v>
      </c>
      <c r="N67">
        <f t="shared" si="19"/>
        <v>0</v>
      </c>
      <c r="O67">
        <f t="shared" si="20"/>
        <v>0</v>
      </c>
      <c r="P67">
        <f t="shared" si="21"/>
        <v>0</v>
      </c>
      <c r="Q67">
        <f t="shared" si="22"/>
        <v>0</v>
      </c>
      <c r="R67">
        <f t="shared" si="17"/>
        <v>0</v>
      </c>
      <c r="S67">
        <f t="shared" si="24"/>
        <v>0</v>
      </c>
      <c r="T67">
        <f t="shared" si="23"/>
        <v>0</v>
      </c>
      <c r="U67">
        <f t="shared" si="18"/>
        <v>0</v>
      </c>
      <c r="V67">
        <f t="shared" si="26"/>
        <v>0</v>
      </c>
      <c r="W67">
        <f t="shared" si="16"/>
        <v>0</v>
      </c>
      <c r="X67" t="s">
        <v>273</v>
      </c>
      <c r="Y67" t="s">
        <v>274</v>
      </c>
      <c r="Z67" s="3" t="s">
        <v>275</v>
      </c>
      <c r="AB67">
        <v>23</v>
      </c>
      <c r="AC67" s="8" t="s">
        <v>1036</v>
      </c>
      <c r="AD67" s="8" t="s">
        <v>1052</v>
      </c>
      <c r="AE67" s="8">
        <v>172</v>
      </c>
      <c r="AF67" s="8">
        <v>3.5</v>
      </c>
      <c r="AG67" s="8" t="s">
        <v>1036</v>
      </c>
      <c r="AH67" s="8" t="s">
        <v>1032</v>
      </c>
      <c r="AI67" s="11">
        <v>0.14000000000000001</v>
      </c>
      <c r="AJ67" s="11">
        <v>24.399999999999991</v>
      </c>
      <c r="AK67" s="11">
        <v>55.300840000000001</v>
      </c>
      <c r="AL67" s="11">
        <v>49.454813039893523</v>
      </c>
      <c r="AM67" s="11">
        <v>12.748799999999999</v>
      </c>
      <c r="AN67" s="8" t="s">
        <v>1032</v>
      </c>
      <c r="AO67" s="8" t="s">
        <v>1047</v>
      </c>
    </row>
    <row r="68" spans="1:41" x14ac:dyDescent="0.25">
      <c r="B68" t="s">
        <v>261</v>
      </c>
      <c r="C68" t="s">
        <v>72</v>
      </c>
      <c r="D68" t="s">
        <v>231</v>
      </c>
      <c r="E68" t="s">
        <v>14</v>
      </c>
      <c r="F68">
        <v>1</v>
      </c>
      <c r="G68">
        <v>246</v>
      </c>
      <c r="H68">
        <v>447.2</v>
      </c>
      <c r="I68">
        <v>55</v>
      </c>
      <c r="K68" t="s">
        <v>86</v>
      </c>
      <c r="L68">
        <f t="shared" si="25"/>
        <v>1</v>
      </c>
      <c r="M68">
        <f t="shared" si="14"/>
        <v>0</v>
      </c>
      <c r="N68">
        <f t="shared" si="19"/>
        <v>0</v>
      </c>
      <c r="O68">
        <f t="shared" si="20"/>
        <v>1</v>
      </c>
      <c r="P68">
        <f t="shared" si="21"/>
        <v>0</v>
      </c>
      <c r="Q68">
        <f t="shared" si="22"/>
        <v>0</v>
      </c>
      <c r="R68">
        <f t="shared" si="17"/>
        <v>0</v>
      </c>
      <c r="S68">
        <f t="shared" si="24"/>
        <v>0</v>
      </c>
      <c r="T68">
        <f t="shared" si="23"/>
        <v>0</v>
      </c>
      <c r="U68">
        <f t="shared" si="18"/>
        <v>0</v>
      </c>
      <c r="V68">
        <f t="shared" si="26"/>
        <v>0</v>
      </c>
      <c r="W68">
        <f t="shared" si="16"/>
        <v>0</v>
      </c>
      <c r="X68" t="s">
        <v>276</v>
      </c>
      <c r="Y68" t="s">
        <v>277</v>
      </c>
      <c r="Z68" s="3" t="s">
        <v>278</v>
      </c>
      <c r="AA68" t="s">
        <v>265</v>
      </c>
      <c r="AB68">
        <v>23</v>
      </c>
      <c r="AC68" s="8" t="s">
        <v>1036</v>
      </c>
      <c r="AD68" s="8" t="s">
        <v>1052</v>
      </c>
      <c r="AE68" s="8">
        <v>172</v>
      </c>
      <c r="AF68" s="8">
        <v>3.5</v>
      </c>
      <c r="AG68" s="8" t="s">
        <v>1036</v>
      </c>
      <c r="AH68" s="8" t="s">
        <v>1032</v>
      </c>
      <c r="AI68" s="11">
        <v>0.14000000000000001</v>
      </c>
      <c r="AJ68" s="11">
        <v>24.399999999999991</v>
      </c>
      <c r="AK68" s="11">
        <v>55.300840000000001</v>
      </c>
      <c r="AL68" s="11">
        <v>49.454813039893523</v>
      </c>
      <c r="AM68" s="11">
        <v>12.748799999999999</v>
      </c>
      <c r="AN68" s="8" t="s">
        <v>1032</v>
      </c>
      <c r="AO68" s="8" t="s">
        <v>1047</v>
      </c>
    </row>
    <row r="69" spans="1:41" x14ac:dyDescent="0.25">
      <c r="B69" t="s">
        <v>261</v>
      </c>
      <c r="C69" t="s">
        <v>77</v>
      </c>
      <c r="D69" t="s">
        <v>231</v>
      </c>
      <c r="E69" t="s">
        <v>14</v>
      </c>
      <c r="F69">
        <v>1</v>
      </c>
      <c r="G69">
        <v>237.5</v>
      </c>
      <c r="H69">
        <v>436.8</v>
      </c>
      <c r="I69">
        <v>54.4</v>
      </c>
      <c r="L69">
        <f t="shared" si="25"/>
        <v>0</v>
      </c>
      <c r="M69">
        <f t="shared" si="14"/>
        <v>0</v>
      </c>
      <c r="N69">
        <f t="shared" si="19"/>
        <v>0</v>
      </c>
      <c r="O69">
        <f t="shared" si="20"/>
        <v>0</v>
      </c>
      <c r="P69">
        <f t="shared" si="21"/>
        <v>0</v>
      </c>
      <c r="Q69">
        <f t="shared" si="22"/>
        <v>0</v>
      </c>
      <c r="R69">
        <f t="shared" si="17"/>
        <v>0</v>
      </c>
      <c r="S69">
        <f t="shared" si="24"/>
        <v>0</v>
      </c>
      <c r="T69">
        <f t="shared" si="23"/>
        <v>0</v>
      </c>
      <c r="U69">
        <f t="shared" si="18"/>
        <v>0</v>
      </c>
      <c r="V69">
        <f t="shared" si="26"/>
        <v>0</v>
      </c>
      <c r="W69">
        <f t="shared" si="16"/>
        <v>0</v>
      </c>
      <c r="X69" t="s">
        <v>279</v>
      </c>
      <c r="Y69" t="s">
        <v>280</v>
      </c>
      <c r="Z69" s="3" t="s">
        <v>281</v>
      </c>
      <c r="AA69" t="s">
        <v>272</v>
      </c>
      <c r="AB69">
        <v>23</v>
      </c>
      <c r="AC69" s="8" t="s">
        <v>1036</v>
      </c>
      <c r="AD69" s="8" t="s">
        <v>1052</v>
      </c>
      <c r="AE69" s="8">
        <v>172</v>
      </c>
      <c r="AF69" s="8">
        <v>3.5</v>
      </c>
      <c r="AG69" s="8" t="s">
        <v>1036</v>
      </c>
      <c r="AH69" s="8" t="s">
        <v>1032</v>
      </c>
      <c r="AI69" s="11">
        <v>0.14000000000000001</v>
      </c>
      <c r="AJ69" s="11">
        <v>24.399999999999991</v>
      </c>
      <c r="AK69" s="11">
        <v>55.300840000000001</v>
      </c>
      <c r="AL69" s="11">
        <v>49.454813039893523</v>
      </c>
      <c r="AM69" s="11">
        <v>12.748799999999999</v>
      </c>
      <c r="AN69" s="8" t="s">
        <v>1032</v>
      </c>
      <c r="AO69" s="8" t="s">
        <v>1047</v>
      </c>
    </row>
    <row r="70" spans="1:41" x14ac:dyDescent="0.25">
      <c r="B70" t="s">
        <v>261</v>
      </c>
      <c r="C70" t="s">
        <v>81</v>
      </c>
      <c r="D70" t="s">
        <v>231</v>
      </c>
      <c r="E70" t="s">
        <v>14</v>
      </c>
      <c r="F70">
        <v>1</v>
      </c>
      <c r="G70">
        <v>266</v>
      </c>
      <c r="H70">
        <v>487.4</v>
      </c>
      <c r="I70">
        <v>54.6</v>
      </c>
      <c r="L70">
        <f t="shared" si="25"/>
        <v>0</v>
      </c>
      <c r="M70">
        <f t="shared" si="14"/>
        <v>0</v>
      </c>
      <c r="N70">
        <f t="shared" si="19"/>
        <v>0</v>
      </c>
      <c r="O70">
        <f t="shared" si="20"/>
        <v>0</v>
      </c>
      <c r="P70">
        <f t="shared" si="21"/>
        <v>0</v>
      </c>
      <c r="Q70">
        <f t="shared" si="22"/>
        <v>0</v>
      </c>
      <c r="R70">
        <f t="shared" si="17"/>
        <v>0</v>
      </c>
      <c r="S70">
        <f t="shared" si="24"/>
        <v>0</v>
      </c>
      <c r="T70">
        <f t="shared" si="23"/>
        <v>0</v>
      </c>
      <c r="U70">
        <f t="shared" si="18"/>
        <v>0</v>
      </c>
      <c r="V70">
        <f t="shared" si="26"/>
        <v>0</v>
      </c>
      <c r="W70">
        <f t="shared" si="16"/>
        <v>0</v>
      </c>
      <c r="X70" t="s">
        <v>282</v>
      </c>
      <c r="Y70" t="s">
        <v>283</v>
      </c>
      <c r="Z70" s="3" t="s">
        <v>284</v>
      </c>
      <c r="AA70" t="s">
        <v>285</v>
      </c>
      <c r="AB70">
        <v>23</v>
      </c>
      <c r="AC70" s="8" t="s">
        <v>1036</v>
      </c>
      <c r="AD70" s="8" t="s">
        <v>1052</v>
      </c>
      <c r="AE70" s="8">
        <v>172</v>
      </c>
      <c r="AF70" s="8">
        <v>3.5</v>
      </c>
      <c r="AG70" s="8" t="s">
        <v>1036</v>
      </c>
      <c r="AH70" s="8" t="s">
        <v>1032</v>
      </c>
      <c r="AI70" s="11">
        <v>0.14000000000000001</v>
      </c>
      <c r="AJ70" s="11">
        <v>24.399999999999991</v>
      </c>
      <c r="AK70" s="11">
        <v>55.300840000000001</v>
      </c>
      <c r="AL70" s="11">
        <v>49.454813039893523</v>
      </c>
      <c r="AM70" s="11">
        <v>12.748799999999999</v>
      </c>
      <c r="AN70" s="8" t="s">
        <v>1032</v>
      </c>
      <c r="AO70" s="8" t="s">
        <v>1047</v>
      </c>
    </row>
    <row r="71" spans="1:41" x14ac:dyDescent="0.25">
      <c r="B71" t="s">
        <v>261</v>
      </c>
      <c r="C71" t="s">
        <v>85</v>
      </c>
      <c r="D71" t="s">
        <v>231</v>
      </c>
      <c r="E71" t="s">
        <v>14</v>
      </c>
      <c r="F71">
        <v>1</v>
      </c>
      <c r="G71">
        <v>236</v>
      </c>
      <c r="H71">
        <v>458.7</v>
      </c>
      <c r="I71">
        <v>51.4</v>
      </c>
      <c r="L71">
        <f t="shared" si="25"/>
        <v>0</v>
      </c>
      <c r="M71">
        <f t="shared" si="14"/>
        <v>0</v>
      </c>
      <c r="N71">
        <f t="shared" si="19"/>
        <v>0</v>
      </c>
      <c r="O71">
        <f t="shared" si="20"/>
        <v>0</v>
      </c>
      <c r="P71">
        <f t="shared" si="21"/>
        <v>0</v>
      </c>
      <c r="Q71">
        <f t="shared" si="22"/>
        <v>0</v>
      </c>
      <c r="R71">
        <f t="shared" si="17"/>
        <v>0</v>
      </c>
      <c r="S71">
        <f t="shared" si="24"/>
        <v>0</v>
      </c>
      <c r="T71">
        <f t="shared" si="23"/>
        <v>0</v>
      </c>
      <c r="U71">
        <f t="shared" si="18"/>
        <v>0</v>
      </c>
      <c r="V71">
        <f t="shared" si="26"/>
        <v>0</v>
      </c>
      <c r="W71">
        <f t="shared" si="16"/>
        <v>0</v>
      </c>
      <c r="X71" t="s">
        <v>286</v>
      </c>
      <c r="Y71" t="s">
        <v>287</v>
      </c>
      <c r="Z71" s="3" t="s">
        <v>288</v>
      </c>
      <c r="AA71" t="s">
        <v>268</v>
      </c>
      <c r="AB71">
        <v>23</v>
      </c>
      <c r="AC71" s="8" t="s">
        <v>1036</v>
      </c>
      <c r="AD71" s="8" t="s">
        <v>1052</v>
      </c>
      <c r="AE71" s="8">
        <v>172</v>
      </c>
      <c r="AF71" s="8">
        <v>3.5</v>
      </c>
      <c r="AG71" s="8" t="s">
        <v>1036</v>
      </c>
      <c r="AH71" s="8" t="s">
        <v>1032</v>
      </c>
      <c r="AI71" s="11">
        <v>0.14000000000000001</v>
      </c>
      <c r="AJ71" s="11">
        <v>24.399999999999991</v>
      </c>
      <c r="AK71" s="11">
        <v>55.300840000000001</v>
      </c>
      <c r="AL71" s="11">
        <v>49.454813039893523</v>
      </c>
      <c r="AM71" s="11">
        <v>12.748799999999999</v>
      </c>
      <c r="AN71" s="8" t="s">
        <v>1032</v>
      </c>
      <c r="AO71" s="8" t="s">
        <v>1047</v>
      </c>
    </row>
    <row r="72" spans="1:41" x14ac:dyDescent="0.25">
      <c r="B72" t="s">
        <v>261</v>
      </c>
      <c r="C72" t="s">
        <v>90</v>
      </c>
      <c r="D72" t="s">
        <v>231</v>
      </c>
      <c r="E72" t="s">
        <v>14</v>
      </c>
      <c r="F72">
        <v>1</v>
      </c>
      <c r="G72">
        <v>221</v>
      </c>
      <c r="H72">
        <v>404</v>
      </c>
      <c r="I72">
        <v>54.7</v>
      </c>
      <c r="L72">
        <f t="shared" si="25"/>
        <v>0</v>
      </c>
      <c r="M72">
        <f t="shared" si="14"/>
        <v>0</v>
      </c>
      <c r="N72">
        <f t="shared" si="19"/>
        <v>0</v>
      </c>
      <c r="O72">
        <f t="shared" si="20"/>
        <v>0</v>
      </c>
      <c r="P72">
        <f t="shared" si="21"/>
        <v>0</v>
      </c>
      <c r="Q72">
        <f t="shared" si="22"/>
        <v>0</v>
      </c>
      <c r="R72">
        <f t="shared" si="17"/>
        <v>0</v>
      </c>
      <c r="S72">
        <f t="shared" si="24"/>
        <v>0</v>
      </c>
      <c r="T72">
        <f t="shared" si="23"/>
        <v>0</v>
      </c>
      <c r="U72">
        <f t="shared" si="18"/>
        <v>0</v>
      </c>
      <c r="V72">
        <f t="shared" si="26"/>
        <v>0</v>
      </c>
      <c r="W72">
        <f t="shared" si="16"/>
        <v>0</v>
      </c>
      <c r="X72" t="s">
        <v>289</v>
      </c>
      <c r="Y72" t="s">
        <v>290</v>
      </c>
      <c r="Z72" s="3" t="s">
        <v>267</v>
      </c>
      <c r="AA72" t="s">
        <v>272</v>
      </c>
      <c r="AB72">
        <v>23</v>
      </c>
      <c r="AC72" s="8" t="s">
        <v>1036</v>
      </c>
      <c r="AD72" s="8" t="s">
        <v>1052</v>
      </c>
      <c r="AE72" s="8">
        <v>172</v>
      </c>
      <c r="AF72" s="8">
        <v>3.5</v>
      </c>
      <c r="AG72" s="8" t="s">
        <v>1036</v>
      </c>
      <c r="AH72" s="8" t="s">
        <v>1032</v>
      </c>
      <c r="AI72" s="11">
        <v>0.14000000000000001</v>
      </c>
      <c r="AJ72" s="11">
        <v>24.399999999999991</v>
      </c>
      <c r="AK72" s="11">
        <v>55.300840000000001</v>
      </c>
      <c r="AL72" s="11">
        <v>49.454813039893523</v>
      </c>
      <c r="AM72" s="11">
        <v>12.748799999999999</v>
      </c>
      <c r="AN72" s="8" t="s">
        <v>1032</v>
      </c>
      <c r="AO72" s="8" t="s">
        <v>1047</v>
      </c>
    </row>
    <row r="73" spans="1:41" x14ac:dyDescent="0.25">
      <c r="B73" t="s">
        <v>261</v>
      </c>
      <c r="C73" t="s">
        <v>94</v>
      </c>
      <c r="D73" t="s">
        <v>231</v>
      </c>
      <c r="E73" t="s">
        <v>14</v>
      </c>
      <c r="F73">
        <v>1</v>
      </c>
      <c r="G73">
        <v>235.5</v>
      </c>
      <c r="H73">
        <v>425.9</v>
      </c>
      <c r="I73">
        <v>55.3</v>
      </c>
      <c r="L73">
        <f t="shared" si="25"/>
        <v>0</v>
      </c>
      <c r="M73">
        <f t="shared" si="14"/>
        <v>0</v>
      </c>
      <c r="N73">
        <f t="shared" si="19"/>
        <v>0</v>
      </c>
      <c r="O73">
        <f t="shared" si="20"/>
        <v>0</v>
      </c>
      <c r="P73">
        <f t="shared" si="21"/>
        <v>0</v>
      </c>
      <c r="Q73">
        <f t="shared" si="22"/>
        <v>0</v>
      </c>
      <c r="R73">
        <f t="shared" si="17"/>
        <v>0</v>
      </c>
      <c r="S73">
        <f t="shared" si="24"/>
        <v>0</v>
      </c>
      <c r="T73">
        <f t="shared" si="23"/>
        <v>0</v>
      </c>
      <c r="U73">
        <f t="shared" si="18"/>
        <v>0</v>
      </c>
      <c r="V73">
        <f t="shared" si="26"/>
        <v>0</v>
      </c>
      <c r="W73">
        <f t="shared" si="16"/>
        <v>0</v>
      </c>
      <c r="X73" t="s">
        <v>291</v>
      </c>
      <c r="Y73" t="s">
        <v>292</v>
      </c>
      <c r="Z73" s="3" t="s">
        <v>293</v>
      </c>
      <c r="AA73" t="s">
        <v>268</v>
      </c>
      <c r="AB73">
        <v>23</v>
      </c>
      <c r="AC73" s="8" t="s">
        <v>1036</v>
      </c>
      <c r="AD73" s="8" t="s">
        <v>1052</v>
      </c>
      <c r="AE73" s="8">
        <v>172</v>
      </c>
      <c r="AF73" s="8">
        <v>3.5</v>
      </c>
      <c r="AG73" s="8" t="s">
        <v>1036</v>
      </c>
      <c r="AH73" s="8" t="s">
        <v>1032</v>
      </c>
      <c r="AI73" s="11">
        <v>0.14000000000000001</v>
      </c>
      <c r="AJ73" s="11">
        <v>24.399999999999991</v>
      </c>
      <c r="AK73" s="11">
        <v>55.300840000000001</v>
      </c>
      <c r="AL73" s="11">
        <v>49.454813039893523</v>
      </c>
      <c r="AM73" s="11">
        <v>12.748799999999999</v>
      </c>
      <c r="AN73" s="8" t="s">
        <v>1032</v>
      </c>
      <c r="AO73" s="8" t="s">
        <v>1047</v>
      </c>
    </row>
    <row r="74" spans="1:41" x14ac:dyDescent="0.25">
      <c r="B74" t="s">
        <v>261</v>
      </c>
      <c r="C74" t="s">
        <v>98</v>
      </c>
      <c r="D74" t="s">
        <v>231</v>
      </c>
      <c r="E74" t="s">
        <v>14</v>
      </c>
      <c r="F74">
        <v>1</v>
      </c>
      <c r="G74">
        <v>265.5</v>
      </c>
      <c r="H74">
        <v>477.5</v>
      </c>
      <c r="I74">
        <v>55.6</v>
      </c>
      <c r="L74">
        <f t="shared" si="25"/>
        <v>0</v>
      </c>
      <c r="M74">
        <f t="shared" si="14"/>
        <v>0</v>
      </c>
      <c r="N74">
        <f t="shared" si="19"/>
        <v>0</v>
      </c>
      <c r="O74">
        <f t="shared" si="20"/>
        <v>0</v>
      </c>
      <c r="P74">
        <f t="shared" si="21"/>
        <v>0</v>
      </c>
      <c r="Q74">
        <f t="shared" si="22"/>
        <v>0</v>
      </c>
      <c r="R74">
        <f t="shared" si="17"/>
        <v>0</v>
      </c>
      <c r="S74">
        <f t="shared" si="24"/>
        <v>0</v>
      </c>
      <c r="T74">
        <f t="shared" si="23"/>
        <v>0</v>
      </c>
      <c r="U74">
        <f t="shared" si="18"/>
        <v>0</v>
      </c>
      <c r="V74">
        <f t="shared" si="26"/>
        <v>0</v>
      </c>
      <c r="W74">
        <f t="shared" si="16"/>
        <v>0</v>
      </c>
      <c r="X74" t="s">
        <v>294</v>
      </c>
      <c r="Y74" t="s">
        <v>295</v>
      </c>
      <c r="Z74" s="3" t="s">
        <v>296</v>
      </c>
      <c r="AA74" t="s">
        <v>285</v>
      </c>
      <c r="AB74">
        <v>23</v>
      </c>
      <c r="AC74" s="8" t="s">
        <v>1036</v>
      </c>
      <c r="AD74" s="8" t="s">
        <v>1052</v>
      </c>
      <c r="AE74" s="8">
        <v>172</v>
      </c>
      <c r="AF74" s="8">
        <v>3.5</v>
      </c>
      <c r="AG74" s="8" t="s">
        <v>1036</v>
      </c>
      <c r="AH74" s="8" t="s">
        <v>1032</v>
      </c>
      <c r="AI74" s="11">
        <v>0.14000000000000001</v>
      </c>
      <c r="AJ74" s="11">
        <v>24.399999999999991</v>
      </c>
      <c r="AK74" s="11">
        <v>55.300840000000001</v>
      </c>
      <c r="AL74" s="11">
        <v>49.454813039893523</v>
      </c>
      <c r="AM74" s="11">
        <v>12.748799999999999</v>
      </c>
      <c r="AN74" s="8" t="s">
        <v>1032</v>
      </c>
      <c r="AO74" s="8" t="s">
        <v>1047</v>
      </c>
    </row>
    <row r="75" spans="1:41" x14ac:dyDescent="0.25">
      <c r="B75" t="s">
        <v>261</v>
      </c>
      <c r="C75" t="s">
        <v>102</v>
      </c>
      <c r="D75" t="s">
        <v>231</v>
      </c>
      <c r="E75" t="s">
        <v>14</v>
      </c>
      <c r="F75">
        <v>1</v>
      </c>
      <c r="G75">
        <v>263</v>
      </c>
      <c r="H75">
        <v>472.8</v>
      </c>
      <c r="I75">
        <v>55.6</v>
      </c>
      <c r="L75">
        <f t="shared" si="25"/>
        <v>0</v>
      </c>
      <c r="M75">
        <f t="shared" si="14"/>
        <v>0</v>
      </c>
      <c r="N75">
        <f t="shared" si="19"/>
        <v>0</v>
      </c>
      <c r="O75">
        <f t="shared" si="20"/>
        <v>0</v>
      </c>
      <c r="P75">
        <f t="shared" si="21"/>
        <v>0</v>
      </c>
      <c r="Q75">
        <f t="shared" si="22"/>
        <v>0</v>
      </c>
      <c r="R75">
        <f t="shared" si="17"/>
        <v>0</v>
      </c>
      <c r="S75">
        <f t="shared" si="24"/>
        <v>0</v>
      </c>
      <c r="T75">
        <f t="shared" si="23"/>
        <v>0</v>
      </c>
      <c r="U75">
        <f t="shared" si="18"/>
        <v>0</v>
      </c>
      <c r="V75">
        <f t="shared" si="26"/>
        <v>0</v>
      </c>
      <c r="W75">
        <f t="shared" si="16"/>
        <v>0</v>
      </c>
      <c r="X75" t="s">
        <v>297</v>
      </c>
      <c r="Y75" t="s">
        <v>298</v>
      </c>
      <c r="Z75" s="3" t="s">
        <v>299</v>
      </c>
      <c r="AA75" t="s">
        <v>268</v>
      </c>
      <c r="AB75">
        <v>23</v>
      </c>
      <c r="AC75" s="8" t="s">
        <v>1036</v>
      </c>
      <c r="AD75" s="8" t="s">
        <v>1052</v>
      </c>
      <c r="AE75" s="8">
        <v>172</v>
      </c>
      <c r="AF75" s="8">
        <v>3.5</v>
      </c>
      <c r="AG75" s="8" t="s">
        <v>1036</v>
      </c>
      <c r="AH75" s="8" t="s">
        <v>1032</v>
      </c>
      <c r="AI75" s="11">
        <v>0.14000000000000001</v>
      </c>
      <c r="AJ75" s="11">
        <v>24.399999999999991</v>
      </c>
      <c r="AK75" s="11">
        <v>55.300840000000001</v>
      </c>
      <c r="AL75" s="11">
        <v>49.454813039893523</v>
      </c>
      <c r="AM75" s="11">
        <v>12.748799999999999</v>
      </c>
      <c r="AN75" s="8" t="s">
        <v>1032</v>
      </c>
      <c r="AO75" s="8" t="s">
        <v>1047</v>
      </c>
    </row>
    <row r="76" spans="1:41" x14ac:dyDescent="0.25">
      <c r="B76" t="s">
        <v>261</v>
      </c>
      <c r="C76" t="s">
        <v>107</v>
      </c>
      <c r="D76" t="s">
        <v>231</v>
      </c>
      <c r="E76" t="s">
        <v>14</v>
      </c>
      <c r="F76">
        <v>1</v>
      </c>
      <c r="G76">
        <v>245.5</v>
      </c>
      <c r="H76">
        <v>455.6</v>
      </c>
      <c r="I76">
        <v>53.9</v>
      </c>
      <c r="L76">
        <f t="shared" si="25"/>
        <v>0</v>
      </c>
      <c r="M76">
        <f t="shared" si="14"/>
        <v>0</v>
      </c>
      <c r="N76">
        <f t="shared" si="19"/>
        <v>0</v>
      </c>
      <c r="O76">
        <f t="shared" si="20"/>
        <v>0</v>
      </c>
      <c r="P76">
        <f t="shared" si="21"/>
        <v>0</v>
      </c>
      <c r="Q76">
        <f t="shared" si="22"/>
        <v>0</v>
      </c>
      <c r="R76">
        <f t="shared" si="17"/>
        <v>0</v>
      </c>
      <c r="S76">
        <f t="shared" si="24"/>
        <v>0</v>
      </c>
      <c r="T76">
        <f t="shared" si="23"/>
        <v>0</v>
      </c>
      <c r="U76">
        <f t="shared" si="18"/>
        <v>0</v>
      </c>
      <c r="V76">
        <f t="shared" si="26"/>
        <v>0</v>
      </c>
      <c r="W76">
        <f t="shared" si="16"/>
        <v>0</v>
      </c>
      <c r="X76" t="s">
        <v>300</v>
      </c>
      <c r="Y76" t="s">
        <v>301</v>
      </c>
      <c r="Z76" s="3" t="s">
        <v>299</v>
      </c>
      <c r="AA76" t="s">
        <v>265</v>
      </c>
      <c r="AB76">
        <v>23</v>
      </c>
      <c r="AC76" s="8" t="s">
        <v>1036</v>
      </c>
      <c r="AD76" s="8" t="s">
        <v>1052</v>
      </c>
      <c r="AE76" s="8">
        <v>172</v>
      </c>
      <c r="AF76" s="8">
        <v>3.5</v>
      </c>
      <c r="AG76" s="8" t="s">
        <v>1036</v>
      </c>
      <c r="AH76" s="8" t="s">
        <v>1032</v>
      </c>
      <c r="AI76" s="11">
        <v>0.14000000000000001</v>
      </c>
      <c r="AJ76" s="11">
        <v>24.399999999999991</v>
      </c>
      <c r="AK76" s="11">
        <v>55.300840000000001</v>
      </c>
      <c r="AL76" s="11">
        <v>49.454813039893523</v>
      </c>
      <c r="AM76" s="11">
        <v>12.748799999999999</v>
      </c>
      <c r="AN76" s="8" t="s">
        <v>1032</v>
      </c>
      <c r="AO76" s="8" t="s">
        <v>1047</v>
      </c>
    </row>
    <row r="77" spans="1:41" x14ac:dyDescent="0.25">
      <c r="A77" s="2"/>
      <c r="B77" s="2" t="s">
        <v>261</v>
      </c>
      <c r="C77" s="2" t="s">
        <v>111</v>
      </c>
      <c r="D77" s="2" t="s">
        <v>231</v>
      </c>
      <c r="E77" s="2" t="s">
        <v>14</v>
      </c>
      <c r="F77" s="2">
        <v>1</v>
      </c>
      <c r="G77" s="2">
        <v>216</v>
      </c>
      <c r="H77" s="2">
        <v>410.2</v>
      </c>
      <c r="I77" s="2">
        <v>52.7</v>
      </c>
      <c r="J77" s="2"/>
      <c r="K77" s="2"/>
      <c r="L77" s="2">
        <f t="shared" si="25"/>
        <v>0</v>
      </c>
      <c r="M77" s="2">
        <f t="shared" si="14"/>
        <v>0</v>
      </c>
      <c r="N77" s="2">
        <f t="shared" si="19"/>
        <v>0</v>
      </c>
      <c r="O77" s="2">
        <f t="shared" si="20"/>
        <v>0</v>
      </c>
      <c r="P77" s="2">
        <f t="shared" si="21"/>
        <v>0</v>
      </c>
      <c r="Q77" s="2">
        <f t="shared" si="22"/>
        <v>0</v>
      </c>
      <c r="R77" s="2">
        <f t="shared" si="17"/>
        <v>0</v>
      </c>
      <c r="S77" s="2">
        <f t="shared" si="24"/>
        <v>0</v>
      </c>
      <c r="T77" s="2">
        <f t="shared" si="23"/>
        <v>0</v>
      </c>
      <c r="U77" s="2">
        <f t="shared" si="18"/>
        <v>0</v>
      </c>
      <c r="V77" s="2">
        <f t="shared" si="26"/>
        <v>0</v>
      </c>
      <c r="W77" s="2">
        <f t="shared" si="16"/>
        <v>0</v>
      </c>
      <c r="X77" s="2" t="s">
        <v>302</v>
      </c>
      <c r="Y77" s="2" t="s">
        <v>303</v>
      </c>
      <c r="Z77" s="6" t="s">
        <v>304</v>
      </c>
      <c r="AA77" s="2" t="s">
        <v>272</v>
      </c>
      <c r="AB77" s="2">
        <v>23</v>
      </c>
      <c r="AC77" s="9" t="s">
        <v>1036</v>
      </c>
      <c r="AD77" s="9" t="s">
        <v>1052</v>
      </c>
      <c r="AE77" s="9">
        <v>172</v>
      </c>
      <c r="AF77" s="9">
        <v>3.5</v>
      </c>
      <c r="AG77" s="9" t="s">
        <v>1036</v>
      </c>
      <c r="AH77" s="9" t="s">
        <v>1032</v>
      </c>
      <c r="AI77" s="19">
        <v>0.14000000000000001</v>
      </c>
      <c r="AJ77" s="19">
        <v>24.399999999999991</v>
      </c>
      <c r="AK77" s="19">
        <v>55.300840000000001</v>
      </c>
      <c r="AL77" s="19">
        <v>49.454813039893523</v>
      </c>
      <c r="AM77" s="19">
        <v>12.748799999999999</v>
      </c>
      <c r="AN77" s="9" t="s">
        <v>1032</v>
      </c>
      <c r="AO77" s="9" t="s">
        <v>1047</v>
      </c>
    </row>
    <row r="78" spans="1:41" ht="15.75" x14ac:dyDescent="0.25">
      <c r="A78" s="7">
        <v>44530</v>
      </c>
      <c r="B78" t="s">
        <v>305</v>
      </c>
      <c r="C78" t="s">
        <v>156</v>
      </c>
      <c r="D78" t="s">
        <v>12</v>
      </c>
      <c r="E78" t="s">
        <v>14</v>
      </c>
      <c r="F78">
        <v>2</v>
      </c>
      <c r="G78">
        <v>354</v>
      </c>
      <c r="H78">
        <v>633.9</v>
      </c>
      <c r="I78">
        <v>55.8</v>
      </c>
      <c r="L78">
        <f t="shared" si="25"/>
        <v>0</v>
      </c>
      <c r="M78">
        <f t="shared" ref="M78:M141" si="28">IF(K78="Arthritis", 1, 0)</f>
        <v>0</v>
      </c>
      <c r="N78">
        <f t="shared" si="19"/>
        <v>0</v>
      </c>
      <c r="O78">
        <f t="shared" si="20"/>
        <v>0</v>
      </c>
      <c r="P78">
        <f t="shared" si="21"/>
        <v>0</v>
      </c>
      <c r="Q78">
        <f t="shared" si="22"/>
        <v>0</v>
      </c>
      <c r="R78">
        <f t="shared" si="17"/>
        <v>0</v>
      </c>
      <c r="S78">
        <f t="shared" si="24"/>
        <v>0</v>
      </c>
      <c r="T78">
        <f t="shared" si="23"/>
        <v>0</v>
      </c>
      <c r="U78">
        <f t="shared" si="18"/>
        <v>0</v>
      </c>
      <c r="V78">
        <f t="shared" si="26"/>
        <v>0</v>
      </c>
      <c r="W78">
        <f t="shared" ref="W78:W141" si="29">IF(K78="Other", 1, 0)</f>
        <v>0</v>
      </c>
      <c r="X78" t="s">
        <v>306</v>
      </c>
      <c r="Y78" t="s">
        <v>137</v>
      </c>
      <c r="Z78" s="3" t="s">
        <v>145</v>
      </c>
      <c r="AA78" t="s">
        <v>307</v>
      </c>
      <c r="AB78">
        <f>(24-14)+13.25</f>
        <v>23.25</v>
      </c>
      <c r="AC78" s="8" t="s">
        <v>1071</v>
      </c>
      <c r="AD78" s="8"/>
      <c r="AE78" s="8">
        <v>175</v>
      </c>
      <c r="AF78" s="8"/>
      <c r="AG78" s="8" t="s">
        <v>1036</v>
      </c>
      <c r="AH78" s="8" t="s">
        <v>1032</v>
      </c>
      <c r="AI78" s="11">
        <v>0.28999999999999998</v>
      </c>
      <c r="AJ78" s="11">
        <v>2.2000000000000002</v>
      </c>
      <c r="AK78" s="11">
        <v>71.046889999999991</v>
      </c>
      <c r="AL78" s="11">
        <v>76.275067825241536</v>
      </c>
      <c r="AM78" s="11">
        <v>57.775199999999998</v>
      </c>
      <c r="AN78" s="8" t="s">
        <v>1032</v>
      </c>
      <c r="AO78" s="8" t="s">
        <v>1047</v>
      </c>
    </row>
    <row r="79" spans="1:41" x14ac:dyDescent="0.25">
      <c r="B79" t="s">
        <v>305</v>
      </c>
      <c r="C79" t="s">
        <v>160</v>
      </c>
      <c r="D79" t="s">
        <v>12</v>
      </c>
      <c r="E79" t="s">
        <v>14</v>
      </c>
      <c r="F79">
        <v>2</v>
      </c>
      <c r="G79">
        <v>339.5</v>
      </c>
      <c r="H79">
        <v>600.79999999999995</v>
      </c>
      <c r="I79">
        <v>56.5</v>
      </c>
      <c r="K79" t="s">
        <v>180</v>
      </c>
      <c r="L79">
        <f t="shared" si="25"/>
        <v>1</v>
      </c>
      <c r="M79">
        <f t="shared" si="28"/>
        <v>0</v>
      </c>
      <c r="N79">
        <f t="shared" si="19"/>
        <v>0</v>
      </c>
      <c r="O79">
        <f t="shared" si="20"/>
        <v>0</v>
      </c>
      <c r="P79">
        <f t="shared" si="21"/>
        <v>0</v>
      </c>
      <c r="Q79">
        <f t="shared" si="22"/>
        <v>0</v>
      </c>
      <c r="R79">
        <f t="shared" ref="R79:R142" si="30">IF(K79="SRM", 1, 0)</f>
        <v>0</v>
      </c>
      <c r="S79">
        <f t="shared" si="24"/>
        <v>0</v>
      </c>
      <c r="T79">
        <f t="shared" si="23"/>
        <v>0</v>
      </c>
      <c r="U79">
        <f t="shared" ref="U79:U136" si="31">IF(K79="Pyogenic", 1, 0)</f>
        <v>0</v>
      </c>
      <c r="V79">
        <f t="shared" si="26"/>
        <v>0</v>
      </c>
      <c r="W79">
        <f t="shared" si="29"/>
        <v>1</v>
      </c>
      <c r="X79" t="s">
        <v>308</v>
      </c>
      <c r="Y79" t="s">
        <v>141</v>
      </c>
      <c r="Z79" s="3" t="s">
        <v>309</v>
      </c>
      <c r="AA79" t="s">
        <v>310</v>
      </c>
      <c r="AB79">
        <v>23.25</v>
      </c>
      <c r="AC79" s="8" t="s">
        <v>1071</v>
      </c>
      <c r="AD79" s="8"/>
      <c r="AE79" s="8">
        <v>175</v>
      </c>
      <c r="AF79" s="8"/>
      <c r="AG79" s="8" t="s">
        <v>1036</v>
      </c>
      <c r="AH79" s="8" t="s">
        <v>1032</v>
      </c>
      <c r="AI79" s="11">
        <v>0.28999999999999998</v>
      </c>
      <c r="AJ79" s="11">
        <v>2.2000000000000002</v>
      </c>
      <c r="AK79" s="11">
        <v>71.046889999999991</v>
      </c>
      <c r="AL79" s="11">
        <v>76.275067825241536</v>
      </c>
      <c r="AM79" s="11">
        <v>57.775199999999998</v>
      </c>
      <c r="AN79" s="8" t="s">
        <v>1032</v>
      </c>
      <c r="AO79" s="8" t="s">
        <v>1047</v>
      </c>
    </row>
    <row r="80" spans="1:41" x14ac:dyDescent="0.25">
      <c r="B80" t="s">
        <v>305</v>
      </c>
      <c r="C80" t="s">
        <v>164</v>
      </c>
      <c r="D80" t="s">
        <v>12</v>
      </c>
      <c r="E80" t="s">
        <v>14</v>
      </c>
      <c r="F80">
        <v>2</v>
      </c>
      <c r="G80">
        <v>342</v>
      </c>
      <c r="H80">
        <v>603.9</v>
      </c>
      <c r="I80">
        <v>56.6</v>
      </c>
      <c r="L80">
        <f t="shared" si="25"/>
        <v>0</v>
      </c>
      <c r="M80">
        <f t="shared" si="28"/>
        <v>0</v>
      </c>
      <c r="N80">
        <f t="shared" si="19"/>
        <v>0</v>
      </c>
      <c r="O80">
        <f t="shared" si="20"/>
        <v>0</v>
      </c>
      <c r="P80">
        <f t="shared" si="21"/>
        <v>0</v>
      </c>
      <c r="Q80">
        <f t="shared" si="22"/>
        <v>0</v>
      </c>
      <c r="R80">
        <f t="shared" si="30"/>
        <v>0</v>
      </c>
      <c r="S80">
        <f t="shared" si="24"/>
        <v>0</v>
      </c>
      <c r="T80">
        <f t="shared" si="23"/>
        <v>0</v>
      </c>
      <c r="U80">
        <f t="shared" si="31"/>
        <v>0</v>
      </c>
      <c r="V80">
        <f t="shared" si="26"/>
        <v>0</v>
      </c>
      <c r="W80">
        <f t="shared" si="29"/>
        <v>0</v>
      </c>
      <c r="X80" t="s">
        <v>311</v>
      </c>
      <c r="Y80" t="s">
        <v>148</v>
      </c>
      <c r="Z80" s="3" t="s">
        <v>123</v>
      </c>
      <c r="AA80" t="s">
        <v>310</v>
      </c>
      <c r="AB80">
        <v>23.25</v>
      </c>
      <c r="AC80" s="8" t="s">
        <v>1071</v>
      </c>
      <c r="AD80" s="8"/>
      <c r="AE80" s="8">
        <v>175</v>
      </c>
      <c r="AF80" s="8"/>
      <c r="AG80" s="8" t="s">
        <v>1036</v>
      </c>
      <c r="AH80" s="8" t="s">
        <v>1032</v>
      </c>
      <c r="AI80" s="11">
        <v>0.28999999999999998</v>
      </c>
      <c r="AJ80" s="11">
        <v>2.2000000000000002</v>
      </c>
      <c r="AK80" s="11">
        <v>71.046889999999991</v>
      </c>
      <c r="AL80" s="11">
        <v>76.275067825241536</v>
      </c>
      <c r="AM80" s="11">
        <v>57.775199999999998</v>
      </c>
      <c r="AN80" s="8" t="s">
        <v>1032</v>
      </c>
      <c r="AO80" s="8" t="s">
        <v>1047</v>
      </c>
    </row>
    <row r="81" spans="2:41" x14ac:dyDescent="0.25">
      <c r="B81" t="s">
        <v>305</v>
      </c>
      <c r="C81" t="s">
        <v>168</v>
      </c>
      <c r="D81" t="s">
        <v>12</v>
      </c>
      <c r="E81" t="s">
        <v>14</v>
      </c>
      <c r="F81">
        <v>2</v>
      </c>
      <c r="G81">
        <v>341.5</v>
      </c>
      <c r="H81">
        <v>605.9</v>
      </c>
      <c r="I81">
        <v>56.4</v>
      </c>
      <c r="L81">
        <f t="shared" si="25"/>
        <v>0</v>
      </c>
      <c r="M81">
        <f t="shared" si="28"/>
        <v>0</v>
      </c>
      <c r="N81">
        <f t="shared" si="19"/>
        <v>0</v>
      </c>
      <c r="O81">
        <f t="shared" si="20"/>
        <v>0</v>
      </c>
      <c r="P81">
        <f t="shared" si="21"/>
        <v>0</v>
      </c>
      <c r="Q81">
        <f t="shared" si="22"/>
        <v>0</v>
      </c>
      <c r="R81">
        <f t="shared" si="30"/>
        <v>0</v>
      </c>
      <c r="S81">
        <f t="shared" si="24"/>
        <v>0</v>
      </c>
      <c r="T81">
        <f t="shared" si="23"/>
        <v>0</v>
      </c>
      <c r="U81">
        <f t="shared" si="31"/>
        <v>0</v>
      </c>
      <c r="V81">
        <f t="shared" si="26"/>
        <v>0</v>
      </c>
      <c r="W81">
        <f t="shared" si="29"/>
        <v>0</v>
      </c>
      <c r="X81" t="s">
        <v>312</v>
      </c>
      <c r="Y81" t="s">
        <v>151</v>
      </c>
      <c r="Z81" s="3" t="s">
        <v>159</v>
      </c>
      <c r="AA81" t="s">
        <v>310</v>
      </c>
      <c r="AB81">
        <v>23.25</v>
      </c>
      <c r="AC81" s="8" t="s">
        <v>1071</v>
      </c>
      <c r="AD81" s="8"/>
      <c r="AE81" s="8">
        <v>175</v>
      </c>
      <c r="AF81" s="8"/>
      <c r="AG81" s="8" t="s">
        <v>1036</v>
      </c>
      <c r="AH81" s="8" t="s">
        <v>1032</v>
      </c>
      <c r="AI81" s="11">
        <v>0.28999999999999998</v>
      </c>
      <c r="AJ81" s="11">
        <v>2.2000000000000002</v>
      </c>
      <c r="AK81" s="11">
        <v>71.046889999999991</v>
      </c>
      <c r="AL81" s="11">
        <v>76.275067825241536</v>
      </c>
      <c r="AM81" s="11">
        <v>57.775199999999998</v>
      </c>
      <c r="AN81" s="8" t="s">
        <v>1032</v>
      </c>
      <c r="AO81" s="8" t="s">
        <v>1047</v>
      </c>
    </row>
    <row r="82" spans="2:41" x14ac:dyDescent="0.25">
      <c r="B82" t="s">
        <v>305</v>
      </c>
      <c r="C82" t="s">
        <v>172</v>
      </c>
      <c r="D82" t="s">
        <v>12</v>
      </c>
      <c r="E82" t="s">
        <v>14</v>
      </c>
      <c r="F82">
        <v>2</v>
      </c>
      <c r="G82">
        <v>365</v>
      </c>
      <c r="H82">
        <v>647.20000000000005</v>
      </c>
      <c r="I82">
        <v>56.4</v>
      </c>
      <c r="L82">
        <f t="shared" si="25"/>
        <v>0</v>
      </c>
      <c r="M82">
        <f t="shared" si="28"/>
        <v>0</v>
      </c>
      <c r="N82">
        <f t="shared" si="19"/>
        <v>0</v>
      </c>
      <c r="O82">
        <f t="shared" si="20"/>
        <v>0</v>
      </c>
      <c r="P82">
        <f t="shared" si="21"/>
        <v>0</v>
      </c>
      <c r="Q82">
        <f t="shared" si="22"/>
        <v>0</v>
      </c>
      <c r="R82">
        <f t="shared" si="30"/>
        <v>0</v>
      </c>
      <c r="S82">
        <f t="shared" si="24"/>
        <v>0</v>
      </c>
      <c r="T82">
        <f t="shared" si="23"/>
        <v>0</v>
      </c>
      <c r="U82">
        <f t="shared" si="31"/>
        <v>0</v>
      </c>
      <c r="V82">
        <f t="shared" si="26"/>
        <v>0</v>
      </c>
      <c r="W82">
        <f t="shared" si="29"/>
        <v>0</v>
      </c>
      <c r="X82" t="s">
        <v>313</v>
      </c>
      <c r="Y82" t="s">
        <v>155</v>
      </c>
      <c r="Z82" s="3" t="s">
        <v>163</v>
      </c>
      <c r="AA82" t="s">
        <v>314</v>
      </c>
      <c r="AB82">
        <v>23.25</v>
      </c>
      <c r="AC82" s="8" t="s">
        <v>1071</v>
      </c>
      <c r="AD82" s="8"/>
      <c r="AE82" s="8">
        <v>175</v>
      </c>
      <c r="AF82" s="8"/>
      <c r="AG82" s="8" t="s">
        <v>1036</v>
      </c>
      <c r="AH82" s="8" t="s">
        <v>1032</v>
      </c>
      <c r="AI82" s="11">
        <v>0.28999999999999998</v>
      </c>
      <c r="AJ82" s="11">
        <v>2.2000000000000002</v>
      </c>
      <c r="AK82" s="11">
        <v>71.046889999999991</v>
      </c>
      <c r="AL82" s="11">
        <v>76.275067825241536</v>
      </c>
      <c r="AM82" s="11">
        <v>57.775199999999998</v>
      </c>
      <c r="AN82" s="8" t="s">
        <v>1032</v>
      </c>
      <c r="AO82" s="8" t="s">
        <v>1047</v>
      </c>
    </row>
    <row r="83" spans="2:41" x14ac:dyDescent="0.25">
      <c r="B83" t="s">
        <v>305</v>
      </c>
      <c r="C83" t="s">
        <v>175</v>
      </c>
      <c r="D83" t="s">
        <v>12</v>
      </c>
      <c r="E83" t="s">
        <v>14</v>
      </c>
      <c r="F83">
        <v>2</v>
      </c>
      <c r="G83">
        <v>358.5</v>
      </c>
      <c r="H83">
        <v>640.5</v>
      </c>
      <c r="I83">
        <v>56</v>
      </c>
      <c r="L83">
        <f t="shared" si="25"/>
        <v>0</v>
      </c>
      <c r="M83">
        <f t="shared" si="28"/>
        <v>0</v>
      </c>
      <c r="N83">
        <f t="shared" si="19"/>
        <v>0</v>
      </c>
      <c r="O83">
        <f t="shared" si="20"/>
        <v>0</v>
      </c>
      <c r="P83">
        <f t="shared" si="21"/>
        <v>0</v>
      </c>
      <c r="Q83">
        <f t="shared" si="22"/>
        <v>0</v>
      </c>
      <c r="R83">
        <f t="shared" si="30"/>
        <v>0</v>
      </c>
      <c r="S83">
        <f t="shared" si="24"/>
        <v>0</v>
      </c>
      <c r="T83">
        <f t="shared" si="23"/>
        <v>0</v>
      </c>
      <c r="U83">
        <f t="shared" si="31"/>
        <v>0</v>
      </c>
      <c r="V83">
        <f t="shared" si="26"/>
        <v>0</v>
      </c>
      <c r="W83">
        <f t="shared" si="29"/>
        <v>0</v>
      </c>
      <c r="X83" t="s">
        <v>315</v>
      </c>
      <c r="Y83" t="s">
        <v>158</v>
      </c>
      <c r="Z83" s="3" t="s">
        <v>167</v>
      </c>
      <c r="AA83" t="s">
        <v>316</v>
      </c>
      <c r="AB83">
        <v>23.25</v>
      </c>
      <c r="AC83" s="8" t="s">
        <v>1071</v>
      </c>
      <c r="AD83" s="8"/>
      <c r="AE83" s="8">
        <v>175</v>
      </c>
      <c r="AF83" s="8"/>
      <c r="AG83" s="8" t="s">
        <v>1036</v>
      </c>
      <c r="AH83" s="8" t="s">
        <v>1032</v>
      </c>
      <c r="AI83" s="11">
        <v>0.28999999999999998</v>
      </c>
      <c r="AJ83" s="11">
        <v>2.2000000000000002</v>
      </c>
      <c r="AK83" s="11">
        <v>71.046889999999991</v>
      </c>
      <c r="AL83" s="11">
        <v>76.275067825241536</v>
      </c>
      <c r="AM83" s="11">
        <v>57.775199999999998</v>
      </c>
      <c r="AN83" s="8" t="s">
        <v>1032</v>
      </c>
      <c r="AO83" s="8" t="s">
        <v>1047</v>
      </c>
    </row>
    <row r="84" spans="2:41" x14ac:dyDescent="0.25">
      <c r="B84" t="s">
        <v>305</v>
      </c>
      <c r="C84" t="s">
        <v>179</v>
      </c>
      <c r="D84" t="s">
        <v>12</v>
      </c>
      <c r="E84" t="s">
        <v>14</v>
      </c>
      <c r="F84">
        <v>2</v>
      </c>
      <c r="G84">
        <v>356.5</v>
      </c>
      <c r="H84">
        <v>639.20000000000005</v>
      </c>
      <c r="I84">
        <v>55.8</v>
      </c>
      <c r="K84" t="s">
        <v>317</v>
      </c>
      <c r="L84">
        <f>M84+N84+O84+P84+Q84+R84+S84+T84+U84+V84+W84</f>
        <v>1</v>
      </c>
      <c r="M84">
        <f t="shared" si="28"/>
        <v>0</v>
      </c>
      <c r="N84">
        <f t="shared" si="19"/>
        <v>0</v>
      </c>
      <c r="O84">
        <f t="shared" si="20"/>
        <v>0</v>
      </c>
      <c r="P84">
        <f t="shared" si="21"/>
        <v>0</v>
      </c>
      <c r="Q84">
        <f t="shared" si="22"/>
        <v>0</v>
      </c>
      <c r="R84">
        <f t="shared" si="30"/>
        <v>0</v>
      </c>
      <c r="S84">
        <f t="shared" ref="S84:S106" si="32">IF(K84="Contaminated", 1, 0)</f>
        <v>1</v>
      </c>
      <c r="T84">
        <f t="shared" si="23"/>
        <v>0</v>
      </c>
      <c r="U84">
        <f t="shared" si="31"/>
        <v>0</v>
      </c>
      <c r="V84">
        <f t="shared" si="26"/>
        <v>0</v>
      </c>
      <c r="W84">
        <f t="shared" si="29"/>
        <v>0</v>
      </c>
      <c r="X84" t="s">
        <v>318</v>
      </c>
      <c r="Y84" t="s">
        <v>162</v>
      </c>
      <c r="Z84" s="3" t="s">
        <v>319</v>
      </c>
      <c r="AA84" t="s">
        <v>320</v>
      </c>
      <c r="AB84">
        <v>23.25</v>
      </c>
      <c r="AC84" s="8" t="s">
        <v>1071</v>
      </c>
      <c r="AD84" s="8"/>
      <c r="AE84" s="8">
        <v>175</v>
      </c>
      <c r="AF84" s="8"/>
      <c r="AG84" s="8" t="s">
        <v>1036</v>
      </c>
      <c r="AH84" s="8" t="s">
        <v>1032</v>
      </c>
      <c r="AI84" s="11">
        <v>0.28999999999999998</v>
      </c>
      <c r="AJ84" s="11">
        <v>2.2000000000000002</v>
      </c>
      <c r="AK84" s="11">
        <v>71.046889999999991</v>
      </c>
      <c r="AL84" s="11">
        <v>76.275067825241536</v>
      </c>
      <c r="AM84" s="11">
        <v>57.775199999999998</v>
      </c>
      <c r="AN84" s="8" t="s">
        <v>1032</v>
      </c>
      <c r="AO84" s="8" t="s">
        <v>1047</v>
      </c>
    </row>
    <row r="85" spans="2:41" x14ac:dyDescent="0.25">
      <c r="B85" t="s">
        <v>305</v>
      </c>
      <c r="C85" t="s">
        <v>184</v>
      </c>
      <c r="D85" t="s">
        <v>12</v>
      </c>
      <c r="E85" t="s">
        <v>14</v>
      </c>
      <c r="F85">
        <v>2</v>
      </c>
      <c r="G85">
        <v>343.5</v>
      </c>
      <c r="H85">
        <v>602.5</v>
      </c>
      <c r="I85">
        <v>57</v>
      </c>
      <c r="L85">
        <f t="shared" ref="L85:L148" si="33">M85+N85+O85+P85+Q85+R85+S85+T85+U85+V85+W85</f>
        <v>0</v>
      </c>
      <c r="M85">
        <f t="shared" si="28"/>
        <v>0</v>
      </c>
      <c r="N85">
        <f t="shared" si="19"/>
        <v>0</v>
      </c>
      <c r="O85">
        <f t="shared" si="20"/>
        <v>0</v>
      </c>
      <c r="P85">
        <f t="shared" si="21"/>
        <v>0</v>
      </c>
      <c r="Q85">
        <f t="shared" si="22"/>
        <v>0</v>
      </c>
      <c r="R85">
        <f t="shared" si="30"/>
        <v>0</v>
      </c>
      <c r="S85">
        <f t="shared" si="32"/>
        <v>0</v>
      </c>
      <c r="T85">
        <f t="shared" si="23"/>
        <v>0</v>
      </c>
      <c r="U85">
        <f t="shared" si="31"/>
        <v>0</v>
      </c>
      <c r="V85">
        <f t="shared" si="26"/>
        <v>0</v>
      </c>
      <c r="W85">
        <f t="shared" si="29"/>
        <v>0</v>
      </c>
      <c r="X85" t="s">
        <v>321</v>
      </c>
      <c r="Y85" t="s">
        <v>177</v>
      </c>
      <c r="Z85" s="3" t="s">
        <v>178</v>
      </c>
      <c r="AA85" t="s">
        <v>322</v>
      </c>
      <c r="AB85">
        <v>23.25</v>
      </c>
      <c r="AC85" s="8" t="s">
        <v>1071</v>
      </c>
      <c r="AD85" s="8"/>
      <c r="AE85" s="8">
        <v>175</v>
      </c>
      <c r="AF85" s="8"/>
      <c r="AG85" s="8" t="s">
        <v>1036</v>
      </c>
      <c r="AH85" s="8" t="s">
        <v>1032</v>
      </c>
      <c r="AI85" s="11">
        <v>0.28999999999999998</v>
      </c>
      <c r="AJ85" s="11">
        <v>2.2000000000000002</v>
      </c>
      <c r="AK85" s="11">
        <v>71.046889999999991</v>
      </c>
      <c r="AL85" s="11">
        <v>76.275067825241536</v>
      </c>
      <c r="AM85" s="11">
        <v>57.775199999999998</v>
      </c>
      <c r="AN85" s="8" t="s">
        <v>1032</v>
      </c>
      <c r="AO85" s="8" t="s">
        <v>1047</v>
      </c>
    </row>
    <row r="86" spans="2:41" x14ac:dyDescent="0.25">
      <c r="B86" t="s">
        <v>305</v>
      </c>
      <c r="C86" t="s">
        <v>188</v>
      </c>
      <c r="D86" t="s">
        <v>12</v>
      </c>
      <c r="E86" t="s">
        <v>14</v>
      </c>
      <c r="F86">
        <v>2</v>
      </c>
      <c r="G86">
        <v>340.5</v>
      </c>
      <c r="H86">
        <v>608.6</v>
      </c>
      <c r="I86">
        <v>55.9</v>
      </c>
      <c r="L86">
        <f t="shared" si="33"/>
        <v>0</v>
      </c>
      <c r="M86">
        <f t="shared" si="28"/>
        <v>0</v>
      </c>
      <c r="N86">
        <f t="shared" ref="N86:N149" si="34">IF(K86="cirrhosis", 1, 0)</f>
        <v>0</v>
      </c>
      <c r="O86">
        <f t="shared" ref="O86:O149" si="35">IF(K86="bruised", 1, 0)</f>
        <v>0</v>
      </c>
      <c r="P86">
        <f t="shared" ref="P86:P149" si="36">IF(K86="inoculation", 1, 0)</f>
        <v>0</v>
      </c>
      <c r="Q86">
        <f t="shared" ref="Q86:Q149" si="37">IF(K86="Pleurisy", 1, 0)</f>
        <v>0</v>
      </c>
      <c r="R86">
        <f t="shared" si="30"/>
        <v>0</v>
      </c>
      <c r="S86">
        <f t="shared" si="32"/>
        <v>0</v>
      </c>
      <c r="T86">
        <f t="shared" ref="T86:T149" si="38">IF(J86="Condemned", 1, 0)</f>
        <v>0</v>
      </c>
      <c r="U86">
        <f t="shared" si="31"/>
        <v>0</v>
      </c>
      <c r="V86">
        <f t="shared" si="26"/>
        <v>0</v>
      </c>
      <c r="W86">
        <f t="shared" si="29"/>
        <v>0</v>
      </c>
      <c r="X86" t="s">
        <v>323</v>
      </c>
      <c r="Y86" t="s">
        <v>182</v>
      </c>
      <c r="Z86" s="3" t="s">
        <v>324</v>
      </c>
      <c r="AA86" t="s">
        <v>325</v>
      </c>
      <c r="AB86">
        <v>23.25</v>
      </c>
      <c r="AC86" s="8" t="s">
        <v>1071</v>
      </c>
      <c r="AD86" s="8"/>
      <c r="AE86" s="8">
        <v>175</v>
      </c>
      <c r="AF86" s="8"/>
      <c r="AG86" s="8" t="s">
        <v>1036</v>
      </c>
      <c r="AH86" s="8" t="s">
        <v>1032</v>
      </c>
      <c r="AI86" s="11">
        <v>0.28999999999999998</v>
      </c>
      <c r="AJ86" s="11">
        <v>2.2000000000000002</v>
      </c>
      <c r="AK86" s="11">
        <v>71.046889999999991</v>
      </c>
      <c r="AL86" s="11">
        <v>76.275067825241536</v>
      </c>
      <c r="AM86" s="11">
        <v>57.775199999999998</v>
      </c>
      <c r="AN86" s="8" t="s">
        <v>1032</v>
      </c>
      <c r="AO86" s="8" t="s">
        <v>1047</v>
      </c>
    </row>
    <row r="87" spans="2:41" x14ac:dyDescent="0.25">
      <c r="B87" t="s">
        <v>305</v>
      </c>
      <c r="C87" t="s">
        <v>326</v>
      </c>
      <c r="D87" t="s">
        <v>12</v>
      </c>
      <c r="E87" t="s">
        <v>14</v>
      </c>
      <c r="F87">
        <v>2</v>
      </c>
      <c r="G87">
        <v>356</v>
      </c>
      <c r="H87">
        <v>632.70000000000005</v>
      </c>
      <c r="I87">
        <v>56.3</v>
      </c>
      <c r="L87">
        <f t="shared" si="33"/>
        <v>0</v>
      </c>
      <c r="M87">
        <f t="shared" si="28"/>
        <v>0</v>
      </c>
      <c r="N87">
        <f t="shared" si="34"/>
        <v>0</v>
      </c>
      <c r="O87">
        <f t="shared" si="35"/>
        <v>0</v>
      </c>
      <c r="P87">
        <f t="shared" si="36"/>
        <v>0</v>
      </c>
      <c r="Q87">
        <f t="shared" si="37"/>
        <v>0</v>
      </c>
      <c r="R87">
        <f t="shared" si="30"/>
        <v>0</v>
      </c>
      <c r="S87">
        <f t="shared" si="32"/>
        <v>0</v>
      </c>
      <c r="T87">
        <f t="shared" si="38"/>
        <v>0</v>
      </c>
      <c r="U87">
        <f t="shared" si="31"/>
        <v>0</v>
      </c>
      <c r="V87">
        <f t="shared" si="26"/>
        <v>0</v>
      </c>
      <c r="W87">
        <f t="shared" si="29"/>
        <v>0</v>
      </c>
      <c r="X87" t="s">
        <v>327</v>
      </c>
      <c r="Y87" t="s">
        <v>186</v>
      </c>
      <c r="Z87" s="3" t="s">
        <v>328</v>
      </c>
      <c r="AA87" t="s">
        <v>314</v>
      </c>
      <c r="AB87">
        <v>23.25</v>
      </c>
      <c r="AC87" s="8" t="s">
        <v>1071</v>
      </c>
      <c r="AD87" s="8"/>
      <c r="AE87" s="8">
        <v>175</v>
      </c>
      <c r="AF87" s="8"/>
      <c r="AG87" s="8" t="s">
        <v>1036</v>
      </c>
      <c r="AH87" s="8" t="s">
        <v>1032</v>
      </c>
      <c r="AI87" s="11">
        <v>0.28999999999999998</v>
      </c>
      <c r="AJ87" s="11">
        <v>2.2000000000000002</v>
      </c>
      <c r="AK87" s="11">
        <v>71.046889999999991</v>
      </c>
      <c r="AL87" s="11">
        <v>76.275067825241536</v>
      </c>
      <c r="AM87" s="11">
        <v>57.775199999999998</v>
      </c>
      <c r="AN87" s="8" t="s">
        <v>1032</v>
      </c>
      <c r="AO87" s="8" t="s">
        <v>1047</v>
      </c>
    </row>
    <row r="88" spans="2:41" x14ac:dyDescent="0.25">
      <c r="B88" t="s">
        <v>305</v>
      </c>
      <c r="C88" t="s">
        <v>329</v>
      </c>
      <c r="D88" t="s">
        <v>12</v>
      </c>
      <c r="E88" t="s">
        <v>14</v>
      </c>
      <c r="F88">
        <v>2</v>
      </c>
      <c r="G88">
        <v>371.5</v>
      </c>
      <c r="H88">
        <v>675.4</v>
      </c>
      <c r="I88">
        <v>55</v>
      </c>
      <c r="L88">
        <f t="shared" si="33"/>
        <v>0</v>
      </c>
      <c r="M88">
        <f t="shared" si="28"/>
        <v>0</v>
      </c>
      <c r="N88">
        <f t="shared" si="34"/>
        <v>0</v>
      </c>
      <c r="O88">
        <f t="shared" si="35"/>
        <v>0</v>
      </c>
      <c r="P88">
        <f t="shared" si="36"/>
        <v>0</v>
      </c>
      <c r="Q88">
        <f t="shared" si="37"/>
        <v>0</v>
      </c>
      <c r="R88">
        <f t="shared" si="30"/>
        <v>0</v>
      </c>
      <c r="S88">
        <f t="shared" si="32"/>
        <v>0</v>
      </c>
      <c r="T88">
        <f t="shared" si="38"/>
        <v>0</v>
      </c>
      <c r="U88">
        <f t="shared" si="31"/>
        <v>0</v>
      </c>
      <c r="V88">
        <f t="shared" si="26"/>
        <v>0</v>
      </c>
      <c r="W88">
        <f t="shared" si="29"/>
        <v>0</v>
      </c>
      <c r="X88" t="s">
        <v>330</v>
      </c>
      <c r="Y88" t="s">
        <v>190</v>
      </c>
      <c r="Z88" s="3" t="s">
        <v>331</v>
      </c>
      <c r="AA88" t="s">
        <v>332</v>
      </c>
      <c r="AB88">
        <v>23.25</v>
      </c>
      <c r="AC88" s="8" t="s">
        <v>1071</v>
      </c>
      <c r="AD88" s="8"/>
      <c r="AE88" s="8">
        <v>175</v>
      </c>
      <c r="AF88" s="8"/>
      <c r="AG88" s="8" t="s">
        <v>1036</v>
      </c>
      <c r="AH88" s="8" t="s">
        <v>1032</v>
      </c>
      <c r="AI88" s="11">
        <v>0.28999999999999998</v>
      </c>
      <c r="AJ88" s="11">
        <v>2.2000000000000002</v>
      </c>
      <c r="AK88" s="11">
        <v>71.046889999999991</v>
      </c>
      <c r="AL88" s="11">
        <v>76.275067825241536</v>
      </c>
      <c r="AM88" s="11">
        <v>57.775199999999998</v>
      </c>
      <c r="AN88" s="8" t="s">
        <v>1032</v>
      </c>
      <c r="AO88" s="8" t="s">
        <v>1047</v>
      </c>
    </row>
    <row r="89" spans="2:41" x14ac:dyDescent="0.25">
      <c r="B89" t="s">
        <v>305</v>
      </c>
      <c r="C89" t="s">
        <v>333</v>
      </c>
      <c r="D89" t="s">
        <v>12</v>
      </c>
      <c r="E89" t="s">
        <v>14</v>
      </c>
      <c r="F89">
        <v>2</v>
      </c>
      <c r="G89">
        <v>320</v>
      </c>
      <c r="H89">
        <v>590.5</v>
      </c>
      <c r="I89">
        <v>54.2</v>
      </c>
      <c r="L89">
        <f t="shared" si="33"/>
        <v>0</v>
      </c>
      <c r="M89">
        <f t="shared" si="28"/>
        <v>0</v>
      </c>
      <c r="N89">
        <f t="shared" si="34"/>
        <v>0</v>
      </c>
      <c r="O89">
        <f t="shared" si="35"/>
        <v>0</v>
      </c>
      <c r="P89">
        <f t="shared" si="36"/>
        <v>0</v>
      </c>
      <c r="Q89">
        <f t="shared" si="37"/>
        <v>0</v>
      </c>
      <c r="R89">
        <f t="shared" si="30"/>
        <v>0</v>
      </c>
      <c r="S89">
        <f t="shared" si="32"/>
        <v>0</v>
      </c>
      <c r="T89">
        <f t="shared" si="38"/>
        <v>0</v>
      </c>
      <c r="U89">
        <f t="shared" si="31"/>
        <v>0</v>
      </c>
      <c r="V89">
        <f t="shared" si="26"/>
        <v>0</v>
      </c>
      <c r="W89">
        <f t="shared" si="29"/>
        <v>0</v>
      </c>
      <c r="X89" t="s">
        <v>334</v>
      </c>
      <c r="Y89" t="s">
        <v>335</v>
      </c>
      <c r="Z89" s="3" t="s">
        <v>336</v>
      </c>
      <c r="AA89" t="s">
        <v>316</v>
      </c>
      <c r="AB89">
        <v>23.25</v>
      </c>
      <c r="AC89" s="8" t="s">
        <v>1071</v>
      </c>
      <c r="AD89" s="8"/>
      <c r="AE89" s="8">
        <v>175</v>
      </c>
      <c r="AF89" s="8"/>
      <c r="AG89" s="8" t="s">
        <v>1036</v>
      </c>
      <c r="AH89" s="8" t="s">
        <v>1032</v>
      </c>
      <c r="AI89" s="11">
        <v>0.28999999999999998</v>
      </c>
      <c r="AJ89" s="11">
        <v>2.2000000000000002</v>
      </c>
      <c r="AK89" s="11">
        <v>71.046889999999991</v>
      </c>
      <c r="AL89" s="11">
        <v>76.275067825241536</v>
      </c>
      <c r="AM89" s="11">
        <v>57.775199999999998</v>
      </c>
      <c r="AN89" s="8" t="s">
        <v>1032</v>
      </c>
      <c r="AO89" s="8" t="s">
        <v>1047</v>
      </c>
    </row>
    <row r="90" spans="2:41" x14ac:dyDescent="0.25">
      <c r="B90" t="s">
        <v>305</v>
      </c>
      <c r="C90" t="s">
        <v>337</v>
      </c>
      <c r="D90" t="s">
        <v>12</v>
      </c>
      <c r="E90" t="s">
        <v>14</v>
      </c>
      <c r="F90">
        <v>2</v>
      </c>
      <c r="G90">
        <v>314</v>
      </c>
      <c r="H90">
        <v>571.4</v>
      </c>
      <c r="I90">
        <v>55</v>
      </c>
      <c r="L90">
        <f t="shared" si="33"/>
        <v>0</v>
      </c>
      <c r="M90">
        <f t="shared" si="28"/>
        <v>0</v>
      </c>
      <c r="N90">
        <f t="shared" si="34"/>
        <v>0</v>
      </c>
      <c r="O90">
        <f t="shared" si="35"/>
        <v>0</v>
      </c>
      <c r="P90">
        <f t="shared" si="36"/>
        <v>0</v>
      </c>
      <c r="Q90">
        <f t="shared" si="37"/>
        <v>0</v>
      </c>
      <c r="R90">
        <f t="shared" si="30"/>
        <v>0</v>
      </c>
      <c r="S90">
        <f t="shared" si="32"/>
        <v>0</v>
      </c>
      <c r="T90">
        <f t="shared" si="38"/>
        <v>0</v>
      </c>
      <c r="U90">
        <f t="shared" si="31"/>
        <v>0</v>
      </c>
      <c r="V90">
        <f t="shared" si="26"/>
        <v>0</v>
      </c>
      <c r="W90">
        <f t="shared" si="29"/>
        <v>0</v>
      </c>
      <c r="X90" t="s">
        <v>338</v>
      </c>
      <c r="Y90" t="s">
        <v>339</v>
      </c>
      <c r="Z90" s="3" t="s">
        <v>336</v>
      </c>
      <c r="AA90" t="s">
        <v>322</v>
      </c>
      <c r="AB90">
        <v>23.25</v>
      </c>
      <c r="AC90" s="8" t="s">
        <v>1071</v>
      </c>
      <c r="AD90" s="8"/>
      <c r="AE90" s="8">
        <v>175</v>
      </c>
      <c r="AF90" s="8"/>
      <c r="AG90" s="8" t="s">
        <v>1036</v>
      </c>
      <c r="AH90" s="8" t="s">
        <v>1032</v>
      </c>
      <c r="AI90" s="11">
        <v>0.28999999999999998</v>
      </c>
      <c r="AJ90" s="11">
        <v>2.2000000000000002</v>
      </c>
      <c r="AK90" s="11">
        <v>71.046889999999991</v>
      </c>
      <c r="AL90" s="11">
        <v>76.275067825241536</v>
      </c>
      <c r="AM90" s="11">
        <v>57.775199999999998</v>
      </c>
      <c r="AN90" s="8" t="s">
        <v>1032</v>
      </c>
      <c r="AO90" s="8" t="s">
        <v>1047</v>
      </c>
    </row>
    <row r="91" spans="2:41" x14ac:dyDescent="0.25">
      <c r="B91" t="s">
        <v>305</v>
      </c>
      <c r="C91" t="s">
        <v>340</v>
      </c>
      <c r="D91" t="s">
        <v>12</v>
      </c>
      <c r="E91" t="s">
        <v>14</v>
      </c>
      <c r="F91">
        <v>2</v>
      </c>
      <c r="G91">
        <v>303</v>
      </c>
      <c r="H91">
        <v>569.4</v>
      </c>
      <c r="I91">
        <v>53.2</v>
      </c>
      <c r="L91">
        <f t="shared" si="33"/>
        <v>0</v>
      </c>
      <c r="M91">
        <f t="shared" si="28"/>
        <v>0</v>
      </c>
      <c r="N91">
        <f t="shared" si="34"/>
        <v>0</v>
      </c>
      <c r="O91">
        <f t="shared" si="35"/>
        <v>0</v>
      </c>
      <c r="P91">
        <f t="shared" si="36"/>
        <v>0</v>
      </c>
      <c r="Q91">
        <f t="shared" si="37"/>
        <v>0</v>
      </c>
      <c r="R91">
        <f t="shared" si="30"/>
        <v>0</v>
      </c>
      <c r="S91">
        <f t="shared" si="32"/>
        <v>0</v>
      </c>
      <c r="T91">
        <f t="shared" si="38"/>
        <v>0</v>
      </c>
      <c r="U91">
        <f t="shared" si="31"/>
        <v>0</v>
      </c>
      <c r="V91">
        <f t="shared" si="26"/>
        <v>0</v>
      </c>
      <c r="W91">
        <f t="shared" si="29"/>
        <v>0</v>
      </c>
      <c r="X91" t="s">
        <v>341</v>
      </c>
      <c r="Y91" t="s">
        <v>339</v>
      </c>
      <c r="Z91" s="3" t="s">
        <v>342</v>
      </c>
      <c r="AA91" t="s">
        <v>310</v>
      </c>
      <c r="AB91">
        <v>23.25</v>
      </c>
      <c r="AC91" s="8" t="s">
        <v>1071</v>
      </c>
      <c r="AD91" s="8"/>
      <c r="AE91" s="8">
        <v>175</v>
      </c>
      <c r="AF91" s="8"/>
      <c r="AG91" s="8" t="s">
        <v>1036</v>
      </c>
      <c r="AH91" s="8" t="s">
        <v>1032</v>
      </c>
      <c r="AI91" s="11">
        <v>0.28999999999999998</v>
      </c>
      <c r="AJ91" s="11">
        <v>2.2000000000000002</v>
      </c>
      <c r="AK91" s="11">
        <v>71.046889999999991</v>
      </c>
      <c r="AL91" s="11">
        <v>76.275067825241536</v>
      </c>
      <c r="AM91" s="11">
        <v>57.775199999999998</v>
      </c>
      <c r="AN91" s="8" t="s">
        <v>1032</v>
      </c>
      <c r="AO91" s="8" t="s">
        <v>1047</v>
      </c>
    </row>
    <row r="92" spans="2:41" x14ac:dyDescent="0.25">
      <c r="B92" t="s">
        <v>305</v>
      </c>
      <c r="C92" t="s">
        <v>343</v>
      </c>
      <c r="D92" t="s">
        <v>12</v>
      </c>
      <c r="E92" t="s">
        <v>14</v>
      </c>
      <c r="F92">
        <v>2</v>
      </c>
      <c r="G92">
        <v>355.5</v>
      </c>
      <c r="H92">
        <v>628.29999999999995</v>
      </c>
      <c r="I92">
        <v>56.6</v>
      </c>
      <c r="L92">
        <f t="shared" si="33"/>
        <v>0</v>
      </c>
      <c r="M92">
        <f t="shared" si="28"/>
        <v>0</v>
      </c>
      <c r="N92">
        <f t="shared" si="34"/>
        <v>0</v>
      </c>
      <c r="O92">
        <f t="shared" si="35"/>
        <v>0</v>
      </c>
      <c r="P92">
        <f t="shared" si="36"/>
        <v>0</v>
      </c>
      <c r="Q92">
        <f t="shared" si="37"/>
        <v>0</v>
      </c>
      <c r="R92">
        <f t="shared" si="30"/>
        <v>0</v>
      </c>
      <c r="S92">
        <f t="shared" si="32"/>
        <v>0</v>
      </c>
      <c r="T92">
        <f t="shared" si="38"/>
        <v>0</v>
      </c>
      <c r="U92">
        <f t="shared" si="31"/>
        <v>0</v>
      </c>
      <c r="V92">
        <f t="shared" si="26"/>
        <v>0</v>
      </c>
      <c r="W92">
        <f t="shared" si="29"/>
        <v>0</v>
      </c>
      <c r="X92" t="s">
        <v>344</v>
      </c>
      <c r="Y92" t="s">
        <v>345</v>
      </c>
      <c r="Z92" s="3" t="s">
        <v>183</v>
      </c>
      <c r="AA92" t="s">
        <v>307</v>
      </c>
      <c r="AB92">
        <v>23.25</v>
      </c>
      <c r="AC92" s="8" t="s">
        <v>1071</v>
      </c>
      <c r="AD92" s="8"/>
      <c r="AE92" s="8">
        <v>175</v>
      </c>
      <c r="AF92" s="8"/>
      <c r="AG92" s="8" t="s">
        <v>1036</v>
      </c>
      <c r="AH92" s="8" t="s">
        <v>1032</v>
      </c>
      <c r="AI92" s="11">
        <v>0.28999999999999998</v>
      </c>
      <c r="AJ92" s="11">
        <v>2.2000000000000002</v>
      </c>
      <c r="AK92" s="11">
        <v>71.046889999999991</v>
      </c>
      <c r="AL92" s="11">
        <v>76.275067825241536</v>
      </c>
      <c r="AM92" s="11">
        <v>57.775199999999998</v>
      </c>
      <c r="AN92" s="8" t="s">
        <v>1032</v>
      </c>
      <c r="AO92" s="8" t="s">
        <v>1047</v>
      </c>
    </row>
    <row r="93" spans="2:41" x14ac:dyDescent="0.25">
      <c r="B93" t="s">
        <v>305</v>
      </c>
      <c r="C93" t="s">
        <v>346</v>
      </c>
      <c r="D93" t="s">
        <v>12</v>
      </c>
      <c r="E93" t="s">
        <v>14</v>
      </c>
      <c r="F93">
        <v>2</v>
      </c>
      <c r="G93">
        <v>329</v>
      </c>
      <c r="H93">
        <v>599.1</v>
      </c>
      <c r="I93">
        <v>54.9</v>
      </c>
      <c r="L93">
        <f t="shared" si="33"/>
        <v>0</v>
      </c>
      <c r="M93">
        <f t="shared" si="28"/>
        <v>0</v>
      </c>
      <c r="N93">
        <f t="shared" si="34"/>
        <v>0</v>
      </c>
      <c r="O93">
        <f t="shared" si="35"/>
        <v>0</v>
      </c>
      <c r="P93">
        <f t="shared" si="36"/>
        <v>0</v>
      </c>
      <c r="Q93">
        <f t="shared" si="37"/>
        <v>0</v>
      </c>
      <c r="R93">
        <f t="shared" si="30"/>
        <v>0</v>
      </c>
      <c r="S93">
        <f t="shared" si="32"/>
        <v>0</v>
      </c>
      <c r="T93">
        <f t="shared" si="38"/>
        <v>0</v>
      </c>
      <c r="U93">
        <f t="shared" si="31"/>
        <v>0</v>
      </c>
      <c r="V93">
        <f t="shared" si="26"/>
        <v>0</v>
      </c>
      <c r="W93">
        <f t="shared" si="29"/>
        <v>0</v>
      </c>
      <c r="X93" t="s">
        <v>347</v>
      </c>
      <c r="Y93" t="s">
        <v>348</v>
      </c>
      <c r="Z93" s="3" t="s">
        <v>349</v>
      </c>
      <c r="AA93" t="s">
        <v>332</v>
      </c>
      <c r="AB93">
        <v>23.25</v>
      </c>
      <c r="AC93" s="8" t="s">
        <v>1071</v>
      </c>
      <c r="AD93" s="8"/>
      <c r="AE93" s="8">
        <v>175</v>
      </c>
      <c r="AF93" s="8"/>
      <c r="AG93" s="8" t="s">
        <v>1036</v>
      </c>
      <c r="AH93" s="8" t="s">
        <v>1032</v>
      </c>
      <c r="AI93" s="11">
        <v>0.28999999999999998</v>
      </c>
      <c r="AJ93" s="11">
        <v>2.2000000000000002</v>
      </c>
      <c r="AK93" s="11">
        <v>71.046889999999991</v>
      </c>
      <c r="AL93" s="11">
        <v>76.275067825241536</v>
      </c>
      <c r="AM93" s="11">
        <v>57.775199999999998</v>
      </c>
      <c r="AN93" s="8" t="s">
        <v>1032</v>
      </c>
      <c r="AO93" s="8" t="s">
        <v>1047</v>
      </c>
    </row>
    <row r="94" spans="2:41" x14ac:dyDescent="0.25">
      <c r="B94" t="s">
        <v>305</v>
      </c>
      <c r="C94" t="s">
        <v>350</v>
      </c>
      <c r="D94" t="s">
        <v>12</v>
      </c>
      <c r="E94" t="s">
        <v>14</v>
      </c>
      <c r="F94">
        <v>2</v>
      </c>
      <c r="G94">
        <v>330</v>
      </c>
      <c r="H94">
        <v>600.1</v>
      </c>
      <c r="I94">
        <v>55</v>
      </c>
      <c r="L94">
        <f t="shared" si="33"/>
        <v>0</v>
      </c>
      <c r="M94">
        <f t="shared" si="28"/>
        <v>0</v>
      </c>
      <c r="N94">
        <f t="shared" si="34"/>
        <v>0</v>
      </c>
      <c r="O94">
        <f t="shared" si="35"/>
        <v>0</v>
      </c>
      <c r="P94">
        <f t="shared" si="36"/>
        <v>0</v>
      </c>
      <c r="Q94">
        <f t="shared" si="37"/>
        <v>0</v>
      </c>
      <c r="R94">
        <f t="shared" si="30"/>
        <v>0</v>
      </c>
      <c r="S94">
        <f t="shared" si="32"/>
        <v>0</v>
      </c>
      <c r="T94">
        <f t="shared" si="38"/>
        <v>0</v>
      </c>
      <c r="U94">
        <f t="shared" si="31"/>
        <v>0</v>
      </c>
      <c r="V94">
        <f t="shared" si="26"/>
        <v>0</v>
      </c>
      <c r="W94">
        <f t="shared" si="29"/>
        <v>0</v>
      </c>
      <c r="X94" t="s">
        <v>351</v>
      </c>
      <c r="Y94" t="s">
        <v>352</v>
      </c>
      <c r="Z94" s="3" t="s">
        <v>353</v>
      </c>
      <c r="AA94" t="s">
        <v>354</v>
      </c>
      <c r="AB94">
        <v>23.25</v>
      </c>
      <c r="AC94" s="8" t="s">
        <v>1071</v>
      </c>
      <c r="AD94" s="8"/>
      <c r="AE94" s="8">
        <v>175</v>
      </c>
      <c r="AF94" s="8"/>
      <c r="AG94" s="8" t="s">
        <v>1036</v>
      </c>
      <c r="AH94" s="8" t="s">
        <v>1032</v>
      </c>
      <c r="AI94" s="11">
        <v>0.28999999999999998</v>
      </c>
      <c r="AJ94" s="11">
        <v>2.2000000000000002</v>
      </c>
      <c r="AK94" s="11">
        <v>71.046889999999991</v>
      </c>
      <c r="AL94" s="11">
        <v>76.275067825241536</v>
      </c>
      <c r="AM94" s="11">
        <v>57.775199999999998</v>
      </c>
      <c r="AN94" s="8" t="s">
        <v>1032</v>
      </c>
      <c r="AO94" s="8" t="s">
        <v>1047</v>
      </c>
    </row>
    <row r="95" spans="2:41" x14ac:dyDescent="0.25">
      <c r="B95" t="s">
        <v>305</v>
      </c>
      <c r="C95" t="s">
        <v>355</v>
      </c>
      <c r="D95" t="s">
        <v>12</v>
      </c>
      <c r="E95" t="s">
        <v>14</v>
      </c>
      <c r="F95">
        <v>2</v>
      </c>
      <c r="G95">
        <v>334</v>
      </c>
      <c r="H95">
        <v>599.5</v>
      </c>
      <c r="I95">
        <v>55.7</v>
      </c>
      <c r="K95" t="s">
        <v>317</v>
      </c>
      <c r="L95">
        <f t="shared" si="33"/>
        <v>1</v>
      </c>
      <c r="M95">
        <f t="shared" si="28"/>
        <v>0</v>
      </c>
      <c r="N95">
        <f t="shared" si="34"/>
        <v>0</v>
      </c>
      <c r="O95">
        <f t="shared" si="35"/>
        <v>0</v>
      </c>
      <c r="P95">
        <f t="shared" si="36"/>
        <v>0</v>
      </c>
      <c r="Q95">
        <f t="shared" si="37"/>
        <v>0</v>
      </c>
      <c r="R95">
        <f t="shared" si="30"/>
        <v>0</v>
      </c>
      <c r="S95">
        <f t="shared" si="32"/>
        <v>1</v>
      </c>
      <c r="T95">
        <f t="shared" si="38"/>
        <v>0</v>
      </c>
      <c r="U95">
        <f t="shared" si="31"/>
        <v>0</v>
      </c>
      <c r="V95">
        <f t="shared" si="26"/>
        <v>0</v>
      </c>
      <c r="W95">
        <f t="shared" si="29"/>
        <v>0</v>
      </c>
      <c r="X95" t="s">
        <v>356</v>
      </c>
      <c r="Y95" t="s">
        <v>357</v>
      </c>
      <c r="Z95" s="3" t="s">
        <v>358</v>
      </c>
      <c r="AA95" t="s">
        <v>325</v>
      </c>
      <c r="AB95">
        <v>23.25</v>
      </c>
      <c r="AC95" s="8" t="s">
        <v>1071</v>
      </c>
      <c r="AD95" s="8"/>
      <c r="AE95" s="8">
        <v>175</v>
      </c>
      <c r="AF95" s="8"/>
      <c r="AG95" s="8" t="s">
        <v>1036</v>
      </c>
      <c r="AH95" s="8" t="s">
        <v>1032</v>
      </c>
      <c r="AI95" s="11">
        <v>0.28999999999999998</v>
      </c>
      <c r="AJ95" s="11">
        <v>2.2000000000000002</v>
      </c>
      <c r="AK95" s="11">
        <v>71.046889999999991</v>
      </c>
      <c r="AL95" s="11">
        <v>76.275067825241536</v>
      </c>
      <c r="AM95" s="11">
        <v>57.775199999999998</v>
      </c>
      <c r="AN95" s="8" t="s">
        <v>1032</v>
      </c>
      <c r="AO95" s="8" t="s">
        <v>1047</v>
      </c>
    </row>
    <row r="96" spans="2:41" x14ac:dyDescent="0.25">
      <c r="B96" t="s">
        <v>305</v>
      </c>
      <c r="C96" t="s">
        <v>359</v>
      </c>
      <c r="D96" t="s">
        <v>12</v>
      </c>
      <c r="E96" t="s">
        <v>14</v>
      </c>
      <c r="F96">
        <v>2</v>
      </c>
      <c r="G96">
        <v>306.5</v>
      </c>
      <c r="H96">
        <v>550.4</v>
      </c>
      <c r="I96">
        <v>55.7</v>
      </c>
      <c r="L96">
        <f t="shared" si="33"/>
        <v>0</v>
      </c>
      <c r="M96">
        <f t="shared" si="28"/>
        <v>0</v>
      </c>
      <c r="N96">
        <f t="shared" si="34"/>
        <v>0</v>
      </c>
      <c r="O96">
        <f t="shared" si="35"/>
        <v>0</v>
      </c>
      <c r="P96">
        <f t="shared" si="36"/>
        <v>0</v>
      </c>
      <c r="Q96">
        <f t="shared" si="37"/>
        <v>0</v>
      </c>
      <c r="R96">
        <f t="shared" si="30"/>
        <v>0</v>
      </c>
      <c r="S96">
        <f t="shared" si="32"/>
        <v>0</v>
      </c>
      <c r="T96">
        <f t="shared" si="38"/>
        <v>0</v>
      </c>
      <c r="U96">
        <f t="shared" si="31"/>
        <v>0</v>
      </c>
      <c r="V96">
        <f t="shared" si="26"/>
        <v>0</v>
      </c>
      <c r="W96">
        <f t="shared" si="29"/>
        <v>0</v>
      </c>
      <c r="X96" t="s">
        <v>360</v>
      </c>
      <c r="Y96" t="s">
        <v>357</v>
      </c>
      <c r="Z96" s="3" t="s">
        <v>361</v>
      </c>
      <c r="AA96" t="s">
        <v>354</v>
      </c>
      <c r="AB96">
        <v>23.25</v>
      </c>
      <c r="AC96" s="8" t="s">
        <v>1071</v>
      </c>
      <c r="AD96" s="8"/>
      <c r="AE96" s="8">
        <v>175</v>
      </c>
      <c r="AF96" s="8"/>
      <c r="AG96" s="8" t="s">
        <v>1036</v>
      </c>
      <c r="AH96" s="8" t="s">
        <v>1032</v>
      </c>
      <c r="AI96" s="11">
        <v>0.28999999999999998</v>
      </c>
      <c r="AJ96" s="11">
        <v>2.2000000000000002</v>
      </c>
      <c r="AK96" s="11">
        <v>71.046889999999991</v>
      </c>
      <c r="AL96" s="11">
        <v>76.275067825241536</v>
      </c>
      <c r="AM96" s="11">
        <v>57.775199999999998</v>
      </c>
      <c r="AN96" s="8" t="s">
        <v>1032</v>
      </c>
      <c r="AO96" s="8" t="s">
        <v>1047</v>
      </c>
    </row>
    <row r="97" spans="2:41" x14ac:dyDescent="0.25">
      <c r="B97" t="s">
        <v>305</v>
      </c>
      <c r="C97" t="s">
        <v>362</v>
      </c>
      <c r="D97" t="s">
        <v>12</v>
      </c>
      <c r="E97" t="s">
        <v>14</v>
      </c>
      <c r="F97">
        <v>2</v>
      </c>
      <c r="G97">
        <v>350</v>
      </c>
      <c r="H97">
        <v>645.29999999999995</v>
      </c>
      <c r="I97">
        <v>54.2</v>
      </c>
      <c r="K97" t="s">
        <v>317</v>
      </c>
      <c r="L97">
        <f t="shared" si="33"/>
        <v>1</v>
      </c>
      <c r="M97">
        <f t="shared" si="28"/>
        <v>0</v>
      </c>
      <c r="N97">
        <f t="shared" si="34"/>
        <v>0</v>
      </c>
      <c r="O97">
        <f t="shared" si="35"/>
        <v>0</v>
      </c>
      <c r="P97">
        <f t="shared" si="36"/>
        <v>0</v>
      </c>
      <c r="Q97">
        <f t="shared" si="37"/>
        <v>0</v>
      </c>
      <c r="R97">
        <f t="shared" si="30"/>
        <v>0</v>
      </c>
      <c r="S97">
        <f t="shared" si="32"/>
        <v>1</v>
      </c>
      <c r="T97">
        <f t="shared" si="38"/>
        <v>0</v>
      </c>
      <c r="U97">
        <f t="shared" si="31"/>
        <v>0</v>
      </c>
      <c r="V97">
        <f t="shared" si="26"/>
        <v>0</v>
      </c>
      <c r="W97">
        <f t="shared" si="29"/>
        <v>0</v>
      </c>
      <c r="X97" t="s">
        <v>363</v>
      </c>
      <c r="Y97" t="s">
        <v>364</v>
      </c>
      <c r="Z97" s="3" t="s">
        <v>365</v>
      </c>
      <c r="AA97" t="s">
        <v>354</v>
      </c>
      <c r="AB97">
        <v>23.25</v>
      </c>
      <c r="AC97" s="8" t="s">
        <v>1071</v>
      </c>
      <c r="AD97" s="8"/>
      <c r="AE97" s="8">
        <v>175</v>
      </c>
      <c r="AF97" s="8"/>
      <c r="AG97" s="8" t="s">
        <v>1036</v>
      </c>
      <c r="AH97" s="8" t="s">
        <v>1032</v>
      </c>
      <c r="AI97" s="11">
        <v>0.28999999999999998</v>
      </c>
      <c r="AJ97" s="11">
        <v>2.2000000000000002</v>
      </c>
      <c r="AK97" s="11">
        <v>71.046889999999991</v>
      </c>
      <c r="AL97" s="11">
        <v>76.275067825241536</v>
      </c>
      <c r="AM97" s="11">
        <v>57.775199999999998</v>
      </c>
      <c r="AN97" s="8" t="s">
        <v>1032</v>
      </c>
      <c r="AO97" s="8" t="s">
        <v>1047</v>
      </c>
    </row>
    <row r="98" spans="2:41" x14ac:dyDescent="0.25">
      <c r="B98" t="s">
        <v>305</v>
      </c>
      <c r="C98" t="s">
        <v>366</v>
      </c>
      <c r="D98" t="s">
        <v>12</v>
      </c>
      <c r="E98" t="s">
        <v>14</v>
      </c>
      <c r="F98">
        <v>2</v>
      </c>
      <c r="G98">
        <v>348.5</v>
      </c>
      <c r="H98">
        <v>626.20000000000005</v>
      </c>
      <c r="I98">
        <v>55.7</v>
      </c>
      <c r="L98">
        <f t="shared" si="33"/>
        <v>0</v>
      </c>
      <c r="M98">
        <f t="shared" si="28"/>
        <v>0</v>
      </c>
      <c r="N98">
        <f t="shared" si="34"/>
        <v>0</v>
      </c>
      <c r="O98">
        <f t="shared" si="35"/>
        <v>0</v>
      </c>
      <c r="P98">
        <f t="shared" si="36"/>
        <v>0</v>
      </c>
      <c r="Q98">
        <f t="shared" si="37"/>
        <v>0</v>
      </c>
      <c r="R98">
        <f t="shared" si="30"/>
        <v>0</v>
      </c>
      <c r="S98">
        <f t="shared" si="32"/>
        <v>0</v>
      </c>
      <c r="T98">
        <f t="shared" si="38"/>
        <v>0</v>
      </c>
      <c r="U98">
        <f t="shared" si="31"/>
        <v>0</v>
      </c>
      <c r="V98">
        <f t="shared" si="26"/>
        <v>0</v>
      </c>
      <c r="W98">
        <f t="shared" si="29"/>
        <v>0</v>
      </c>
      <c r="X98" t="s">
        <v>367</v>
      </c>
      <c r="Y98" t="s">
        <v>364</v>
      </c>
      <c r="Z98" s="3" t="s">
        <v>361</v>
      </c>
      <c r="AA98" t="s">
        <v>307</v>
      </c>
      <c r="AB98">
        <v>23.25</v>
      </c>
      <c r="AC98" s="8" t="s">
        <v>1071</v>
      </c>
      <c r="AD98" s="8"/>
      <c r="AE98" s="8">
        <v>175</v>
      </c>
      <c r="AF98" s="8"/>
      <c r="AG98" s="8" t="s">
        <v>1036</v>
      </c>
      <c r="AH98" s="8" t="s">
        <v>1032</v>
      </c>
      <c r="AI98" s="11">
        <v>0.28999999999999998</v>
      </c>
      <c r="AJ98" s="11">
        <v>2.2000000000000002</v>
      </c>
      <c r="AK98" s="11">
        <v>71.046889999999991</v>
      </c>
      <c r="AL98" s="11">
        <v>76.275067825241536</v>
      </c>
      <c r="AM98" s="11">
        <v>57.775199999999998</v>
      </c>
      <c r="AN98" s="8" t="s">
        <v>1032</v>
      </c>
      <c r="AO98" s="8" t="s">
        <v>1047</v>
      </c>
    </row>
    <row r="99" spans="2:41" x14ac:dyDescent="0.25">
      <c r="B99" t="s">
        <v>305</v>
      </c>
      <c r="C99" t="s">
        <v>368</v>
      </c>
      <c r="D99" t="s">
        <v>12</v>
      </c>
      <c r="E99" t="s">
        <v>14</v>
      </c>
      <c r="F99">
        <v>2</v>
      </c>
      <c r="G99">
        <v>355.5</v>
      </c>
      <c r="H99">
        <v>659.7</v>
      </c>
      <c r="I99">
        <v>53.9</v>
      </c>
      <c r="K99" t="s">
        <v>180</v>
      </c>
      <c r="L99">
        <f t="shared" si="33"/>
        <v>1</v>
      </c>
      <c r="M99">
        <f t="shared" si="28"/>
        <v>0</v>
      </c>
      <c r="N99">
        <f t="shared" si="34"/>
        <v>0</v>
      </c>
      <c r="O99">
        <f t="shared" si="35"/>
        <v>0</v>
      </c>
      <c r="P99">
        <f t="shared" si="36"/>
        <v>0</v>
      </c>
      <c r="Q99">
        <f t="shared" si="37"/>
        <v>0</v>
      </c>
      <c r="R99">
        <f t="shared" si="30"/>
        <v>0</v>
      </c>
      <c r="S99">
        <f t="shared" si="32"/>
        <v>0</v>
      </c>
      <c r="T99">
        <f t="shared" si="38"/>
        <v>0</v>
      </c>
      <c r="U99">
        <f t="shared" si="31"/>
        <v>0</v>
      </c>
      <c r="V99">
        <f t="shared" si="26"/>
        <v>0</v>
      </c>
      <c r="W99">
        <f t="shared" si="29"/>
        <v>1</v>
      </c>
      <c r="X99" t="s">
        <v>369</v>
      </c>
      <c r="Y99" t="s">
        <v>370</v>
      </c>
      <c r="Z99" s="3" t="s">
        <v>371</v>
      </c>
      <c r="AA99" t="s">
        <v>314</v>
      </c>
      <c r="AB99">
        <v>23.25</v>
      </c>
      <c r="AC99" s="8" t="s">
        <v>1071</v>
      </c>
      <c r="AD99" s="8"/>
      <c r="AE99" s="8">
        <v>175</v>
      </c>
      <c r="AF99" s="8"/>
      <c r="AG99" s="8" t="s">
        <v>1036</v>
      </c>
      <c r="AH99" s="8" t="s">
        <v>1032</v>
      </c>
      <c r="AI99" s="11">
        <v>0.28999999999999998</v>
      </c>
      <c r="AJ99" s="11">
        <v>2.2000000000000002</v>
      </c>
      <c r="AK99" s="11">
        <v>71.046889999999991</v>
      </c>
      <c r="AL99" s="11">
        <v>76.275067825241536</v>
      </c>
      <c r="AM99" s="11">
        <v>57.775199999999998</v>
      </c>
      <c r="AN99" s="8" t="s">
        <v>1032</v>
      </c>
      <c r="AO99" s="8" t="s">
        <v>1047</v>
      </c>
    </row>
    <row r="100" spans="2:41" x14ac:dyDescent="0.25">
      <c r="B100" t="s">
        <v>305</v>
      </c>
      <c r="C100" t="s">
        <v>372</v>
      </c>
      <c r="D100" t="s">
        <v>12</v>
      </c>
      <c r="E100" t="s">
        <v>14</v>
      </c>
      <c r="F100">
        <v>2</v>
      </c>
      <c r="G100">
        <v>357</v>
      </c>
      <c r="H100">
        <v>655.5</v>
      </c>
      <c r="I100">
        <v>54.5</v>
      </c>
      <c r="L100">
        <f t="shared" si="33"/>
        <v>0</v>
      </c>
      <c r="M100">
        <f t="shared" si="28"/>
        <v>0</v>
      </c>
      <c r="N100">
        <f t="shared" si="34"/>
        <v>0</v>
      </c>
      <c r="O100">
        <f t="shared" si="35"/>
        <v>0</v>
      </c>
      <c r="P100">
        <f t="shared" si="36"/>
        <v>0</v>
      </c>
      <c r="Q100">
        <f t="shared" si="37"/>
        <v>0</v>
      </c>
      <c r="R100">
        <f t="shared" si="30"/>
        <v>0</v>
      </c>
      <c r="S100">
        <f t="shared" si="32"/>
        <v>0</v>
      </c>
      <c r="T100">
        <f t="shared" si="38"/>
        <v>0</v>
      </c>
      <c r="U100">
        <f t="shared" si="31"/>
        <v>0</v>
      </c>
      <c r="V100">
        <f t="shared" si="26"/>
        <v>0</v>
      </c>
      <c r="W100">
        <f t="shared" si="29"/>
        <v>0</v>
      </c>
      <c r="X100" t="s">
        <v>373</v>
      </c>
      <c r="Y100" t="s">
        <v>374</v>
      </c>
      <c r="Z100" s="3" t="s">
        <v>375</v>
      </c>
      <c r="AA100" t="s">
        <v>314</v>
      </c>
      <c r="AB100">
        <v>23.25</v>
      </c>
      <c r="AC100" s="8" t="s">
        <v>1071</v>
      </c>
      <c r="AD100" s="8"/>
      <c r="AE100" s="8">
        <v>175</v>
      </c>
      <c r="AF100" s="8"/>
      <c r="AG100" s="8" t="s">
        <v>1036</v>
      </c>
      <c r="AH100" s="8" t="s">
        <v>1032</v>
      </c>
      <c r="AI100" s="11">
        <v>0.28999999999999998</v>
      </c>
      <c r="AJ100" s="11">
        <v>2.2000000000000002</v>
      </c>
      <c r="AK100" s="11">
        <v>71.046889999999991</v>
      </c>
      <c r="AL100" s="11">
        <v>76.275067825241536</v>
      </c>
      <c r="AM100" s="11">
        <v>57.775199999999998</v>
      </c>
      <c r="AN100" s="8" t="s">
        <v>1032</v>
      </c>
      <c r="AO100" s="8" t="s">
        <v>1047</v>
      </c>
    </row>
    <row r="101" spans="2:41" x14ac:dyDescent="0.25">
      <c r="B101" t="s">
        <v>305</v>
      </c>
      <c r="C101" t="s">
        <v>376</v>
      </c>
      <c r="D101" t="s">
        <v>12</v>
      </c>
      <c r="E101" t="s">
        <v>14</v>
      </c>
      <c r="F101">
        <v>2</v>
      </c>
      <c r="G101">
        <v>331</v>
      </c>
      <c r="H101">
        <v>582.9</v>
      </c>
      <c r="I101">
        <v>56.8</v>
      </c>
      <c r="L101">
        <f t="shared" si="33"/>
        <v>0</v>
      </c>
      <c r="M101">
        <f t="shared" si="28"/>
        <v>0</v>
      </c>
      <c r="N101">
        <f t="shared" si="34"/>
        <v>0</v>
      </c>
      <c r="O101">
        <f t="shared" si="35"/>
        <v>0</v>
      </c>
      <c r="P101">
        <f t="shared" si="36"/>
        <v>0</v>
      </c>
      <c r="Q101">
        <f t="shared" si="37"/>
        <v>0</v>
      </c>
      <c r="R101">
        <f t="shared" si="30"/>
        <v>0</v>
      </c>
      <c r="S101">
        <f t="shared" si="32"/>
        <v>0</v>
      </c>
      <c r="T101">
        <f t="shared" si="38"/>
        <v>0</v>
      </c>
      <c r="U101">
        <f t="shared" si="31"/>
        <v>0</v>
      </c>
      <c r="V101">
        <f t="shared" si="26"/>
        <v>0</v>
      </c>
      <c r="W101">
        <f t="shared" si="29"/>
        <v>0</v>
      </c>
      <c r="X101" t="s">
        <v>377</v>
      </c>
      <c r="Y101" t="s">
        <v>378</v>
      </c>
      <c r="Z101" s="3" t="s">
        <v>379</v>
      </c>
      <c r="AA101" t="s">
        <v>325</v>
      </c>
      <c r="AB101">
        <v>23.25</v>
      </c>
      <c r="AC101" s="8" t="s">
        <v>1071</v>
      </c>
      <c r="AD101" s="8"/>
      <c r="AE101" s="8">
        <v>175</v>
      </c>
      <c r="AF101" s="8"/>
      <c r="AG101" s="8" t="s">
        <v>1036</v>
      </c>
      <c r="AH101" s="8" t="s">
        <v>1032</v>
      </c>
      <c r="AI101" s="11">
        <v>0.28999999999999998</v>
      </c>
      <c r="AJ101" s="11">
        <v>2.2000000000000002</v>
      </c>
      <c r="AK101" s="11">
        <v>71.046889999999991</v>
      </c>
      <c r="AL101" s="11">
        <v>76.275067825241536</v>
      </c>
      <c r="AM101" s="11">
        <v>57.775199999999998</v>
      </c>
      <c r="AN101" s="8" t="s">
        <v>1032</v>
      </c>
      <c r="AO101" s="8" t="s">
        <v>1047</v>
      </c>
    </row>
    <row r="102" spans="2:41" x14ac:dyDescent="0.25">
      <c r="B102" t="s">
        <v>305</v>
      </c>
      <c r="C102" t="s">
        <v>380</v>
      </c>
      <c r="D102" t="s">
        <v>12</v>
      </c>
      <c r="E102" t="s">
        <v>14</v>
      </c>
      <c r="F102">
        <v>2</v>
      </c>
      <c r="G102">
        <v>351.5</v>
      </c>
      <c r="H102">
        <v>631.6</v>
      </c>
      <c r="I102">
        <v>55.7</v>
      </c>
      <c r="L102">
        <f t="shared" si="33"/>
        <v>0</v>
      </c>
      <c r="M102">
        <f t="shared" si="28"/>
        <v>0</v>
      </c>
      <c r="N102">
        <f t="shared" si="34"/>
        <v>0</v>
      </c>
      <c r="O102">
        <f t="shared" si="35"/>
        <v>0</v>
      </c>
      <c r="P102">
        <f t="shared" si="36"/>
        <v>0</v>
      </c>
      <c r="Q102">
        <f t="shared" si="37"/>
        <v>0</v>
      </c>
      <c r="R102">
        <f t="shared" si="30"/>
        <v>0</v>
      </c>
      <c r="S102">
        <f t="shared" si="32"/>
        <v>0</v>
      </c>
      <c r="T102">
        <f t="shared" si="38"/>
        <v>0</v>
      </c>
      <c r="U102">
        <f t="shared" si="31"/>
        <v>0</v>
      </c>
      <c r="V102">
        <f t="shared" si="26"/>
        <v>0</v>
      </c>
      <c r="W102">
        <f t="shared" si="29"/>
        <v>0</v>
      </c>
      <c r="X102" t="s">
        <v>381</v>
      </c>
      <c r="Y102" t="s">
        <v>382</v>
      </c>
      <c r="Z102" s="3" t="s">
        <v>383</v>
      </c>
      <c r="AA102" t="s">
        <v>307</v>
      </c>
      <c r="AB102">
        <v>23.25</v>
      </c>
      <c r="AC102" s="8" t="s">
        <v>1071</v>
      </c>
      <c r="AD102" s="8"/>
      <c r="AE102" s="8">
        <v>175</v>
      </c>
      <c r="AF102" s="8"/>
      <c r="AG102" s="8" t="s">
        <v>1036</v>
      </c>
      <c r="AH102" s="8" t="s">
        <v>1032</v>
      </c>
      <c r="AI102" s="11">
        <v>0.28999999999999998</v>
      </c>
      <c r="AJ102" s="11">
        <v>2.2000000000000002</v>
      </c>
      <c r="AK102" s="11">
        <v>71.046889999999991</v>
      </c>
      <c r="AL102" s="11">
        <v>76.275067825241536</v>
      </c>
      <c r="AM102" s="11">
        <v>57.775199999999998</v>
      </c>
      <c r="AN102" s="8" t="s">
        <v>1032</v>
      </c>
      <c r="AO102" s="8" t="s">
        <v>1047</v>
      </c>
    </row>
    <row r="103" spans="2:41" x14ac:dyDescent="0.25">
      <c r="B103" t="s">
        <v>305</v>
      </c>
      <c r="C103" t="s">
        <v>384</v>
      </c>
      <c r="D103" t="s">
        <v>12</v>
      </c>
      <c r="E103" t="s">
        <v>14</v>
      </c>
      <c r="F103">
        <v>2</v>
      </c>
      <c r="G103">
        <v>358</v>
      </c>
      <c r="H103">
        <v>641.79999999999995</v>
      </c>
      <c r="I103">
        <v>55.8</v>
      </c>
      <c r="L103">
        <f t="shared" si="33"/>
        <v>0</v>
      </c>
      <c r="M103">
        <f t="shared" si="28"/>
        <v>0</v>
      </c>
      <c r="N103">
        <f t="shared" si="34"/>
        <v>0</v>
      </c>
      <c r="O103">
        <f t="shared" si="35"/>
        <v>0</v>
      </c>
      <c r="P103">
        <f t="shared" si="36"/>
        <v>0</v>
      </c>
      <c r="Q103">
        <f t="shared" si="37"/>
        <v>0</v>
      </c>
      <c r="R103">
        <f t="shared" si="30"/>
        <v>0</v>
      </c>
      <c r="S103">
        <f t="shared" si="32"/>
        <v>0</v>
      </c>
      <c r="T103">
        <f t="shared" si="38"/>
        <v>0</v>
      </c>
      <c r="U103">
        <f t="shared" si="31"/>
        <v>0</v>
      </c>
      <c r="V103">
        <f t="shared" si="26"/>
        <v>0</v>
      </c>
      <c r="W103">
        <f t="shared" si="29"/>
        <v>0</v>
      </c>
      <c r="X103" t="s">
        <v>385</v>
      </c>
      <c r="Y103" t="s">
        <v>386</v>
      </c>
      <c r="Z103" s="3" t="s">
        <v>387</v>
      </c>
      <c r="AA103" t="s">
        <v>332</v>
      </c>
      <c r="AB103">
        <v>23.25</v>
      </c>
      <c r="AC103" s="8" t="s">
        <v>1071</v>
      </c>
      <c r="AD103" s="8"/>
      <c r="AE103" s="8">
        <v>175</v>
      </c>
      <c r="AF103" s="8"/>
      <c r="AG103" s="8" t="s">
        <v>1036</v>
      </c>
      <c r="AH103" s="8" t="s">
        <v>1032</v>
      </c>
      <c r="AI103" s="11">
        <v>0.28999999999999998</v>
      </c>
      <c r="AJ103" s="11">
        <v>2.2000000000000002</v>
      </c>
      <c r="AK103" s="11">
        <v>71.046889999999991</v>
      </c>
      <c r="AL103" s="11">
        <v>76.275067825241536</v>
      </c>
      <c r="AM103" s="11">
        <v>57.775199999999998</v>
      </c>
      <c r="AN103" s="8" t="s">
        <v>1032</v>
      </c>
      <c r="AO103" s="8" t="s">
        <v>1047</v>
      </c>
    </row>
    <row r="104" spans="2:41" x14ac:dyDescent="0.25">
      <c r="B104" t="s">
        <v>305</v>
      </c>
      <c r="C104" t="s">
        <v>388</v>
      </c>
      <c r="D104" t="s">
        <v>12</v>
      </c>
      <c r="E104" t="s">
        <v>14</v>
      </c>
      <c r="F104">
        <v>2</v>
      </c>
      <c r="G104">
        <v>347</v>
      </c>
      <c r="H104">
        <v>603.6</v>
      </c>
      <c r="I104">
        <v>57.5</v>
      </c>
      <c r="L104">
        <f t="shared" si="33"/>
        <v>0</v>
      </c>
      <c r="M104">
        <f t="shared" si="28"/>
        <v>0</v>
      </c>
      <c r="N104">
        <f t="shared" si="34"/>
        <v>0</v>
      </c>
      <c r="O104">
        <f t="shared" si="35"/>
        <v>0</v>
      </c>
      <c r="P104">
        <f t="shared" si="36"/>
        <v>0</v>
      </c>
      <c r="Q104">
        <f t="shared" si="37"/>
        <v>0</v>
      </c>
      <c r="R104">
        <f t="shared" si="30"/>
        <v>0</v>
      </c>
      <c r="S104">
        <f t="shared" si="32"/>
        <v>0</v>
      </c>
      <c r="T104">
        <f t="shared" si="38"/>
        <v>0</v>
      </c>
      <c r="U104">
        <f t="shared" si="31"/>
        <v>0</v>
      </c>
      <c r="V104">
        <f t="shared" si="26"/>
        <v>0</v>
      </c>
      <c r="W104">
        <f t="shared" si="29"/>
        <v>0</v>
      </c>
      <c r="X104" t="s">
        <v>389</v>
      </c>
      <c r="Y104" t="s">
        <v>57</v>
      </c>
      <c r="Z104" s="3" t="s">
        <v>390</v>
      </c>
      <c r="AA104" t="s">
        <v>332</v>
      </c>
      <c r="AB104">
        <v>23.25</v>
      </c>
      <c r="AC104" s="8" t="s">
        <v>1071</v>
      </c>
      <c r="AD104" s="8"/>
      <c r="AE104" s="8">
        <v>175</v>
      </c>
      <c r="AF104" s="8"/>
      <c r="AG104" s="8" t="s">
        <v>1036</v>
      </c>
      <c r="AH104" s="8" t="s">
        <v>1032</v>
      </c>
      <c r="AI104" s="11">
        <v>0.28999999999999998</v>
      </c>
      <c r="AJ104" s="11">
        <v>2.2000000000000002</v>
      </c>
      <c r="AK104" s="11">
        <v>71.046889999999991</v>
      </c>
      <c r="AL104" s="11">
        <v>76.275067825241536</v>
      </c>
      <c r="AM104" s="11">
        <v>57.775199999999998</v>
      </c>
      <c r="AN104" s="8" t="s">
        <v>1032</v>
      </c>
      <c r="AO104" s="8" t="s">
        <v>1047</v>
      </c>
    </row>
    <row r="105" spans="2:41" x14ac:dyDescent="0.25">
      <c r="B105" t="s">
        <v>305</v>
      </c>
      <c r="C105" t="s">
        <v>391</v>
      </c>
      <c r="D105" t="s">
        <v>12</v>
      </c>
      <c r="E105" t="s">
        <v>14</v>
      </c>
      <c r="F105">
        <v>2</v>
      </c>
      <c r="G105">
        <v>331.5</v>
      </c>
      <c r="H105">
        <v>604.70000000000005</v>
      </c>
      <c r="I105">
        <v>54.8</v>
      </c>
      <c r="L105">
        <f t="shared" si="33"/>
        <v>0</v>
      </c>
      <c r="M105">
        <f t="shared" si="28"/>
        <v>0</v>
      </c>
      <c r="N105">
        <f t="shared" si="34"/>
        <v>0</v>
      </c>
      <c r="O105">
        <f t="shared" si="35"/>
        <v>0</v>
      </c>
      <c r="P105">
        <f t="shared" si="36"/>
        <v>0</v>
      </c>
      <c r="Q105">
        <f t="shared" si="37"/>
        <v>0</v>
      </c>
      <c r="R105">
        <f t="shared" si="30"/>
        <v>0</v>
      </c>
      <c r="S105">
        <f t="shared" si="32"/>
        <v>0</v>
      </c>
      <c r="T105">
        <f t="shared" si="38"/>
        <v>0</v>
      </c>
      <c r="U105">
        <f t="shared" si="31"/>
        <v>0</v>
      </c>
      <c r="V105">
        <f t="shared" si="26"/>
        <v>0</v>
      </c>
      <c r="W105">
        <f t="shared" si="29"/>
        <v>0</v>
      </c>
      <c r="X105" t="s">
        <v>392</v>
      </c>
      <c r="Y105" t="s">
        <v>65</v>
      </c>
      <c r="Z105" s="3" t="s">
        <v>383</v>
      </c>
      <c r="AA105" t="s">
        <v>314</v>
      </c>
      <c r="AB105">
        <v>23.25</v>
      </c>
      <c r="AC105" s="8" t="s">
        <v>1071</v>
      </c>
      <c r="AD105" s="8"/>
      <c r="AE105" s="8">
        <v>175</v>
      </c>
      <c r="AF105" s="8"/>
      <c r="AG105" s="8" t="s">
        <v>1036</v>
      </c>
      <c r="AH105" s="8" t="s">
        <v>1032</v>
      </c>
      <c r="AI105" s="11">
        <v>0.28999999999999998</v>
      </c>
      <c r="AJ105" s="11">
        <v>2.2000000000000002</v>
      </c>
      <c r="AK105" s="11">
        <v>71.046889999999991</v>
      </c>
      <c r="AL105" s="11">
        <v>76.275067825241536</v>
      </c>
      <c r="AM105" s="11">
        <v>57.775199999999998</v>
      </c>
      <c r="AN105" s="8" t="s">
        <v>1032</v>
      </c>
      <c r="AO105" s="8" t="s">
        <v>1047</v>
      </c>
    </row>
    <row r="106" spans="2:41" x14ac:dyDescent="0.25">
      <c r="B106" t="s">
        <v>305</v>
      </c>
      <c r="C106" t="s">
        <v>393</v>
      </c>
      <c r="D106" t="s">
        <v>12</v>
      </c>
      <c r="E106" t="s">
        <v>14</v>
      </c>
      <c r="F106">
        <v>2</v>
      </c>
      <c r="G106">
        <v>344.5</v>
      </c>
      <c r="H106">
        <v>621</v>
      </c>
      <c r="I106">
        <v>55.5</v>
      </c>
      <c r="L106">
        <f t="shared" si="33"/>
        <v>0</v>
      </c>
      <c r="M106">
        <f t="shared" si="28"/>
        <v>0</v>
      </c>
      <c r="N106">
        <f t="shared" si="34"/>
        <v>0</v>
      </c>
      <c r="O106">
        <f t="shared" si="35"/>
        <v>0</v>
      </c>
      <c r="P106">
        <f t="shared" si="36"/>
        <v>0</v>
      </c>
      <c r="Q106">
        <f t="shared" si="37"/>
        <v>0</v>
      </c>
      <c r="R106">
        <f t="shared" si="30"/>
        <v>0</v>
      </c>
      <c r="S106">
        <f t="shared" si="32"/>
        <v>0</v>
      </c>
      <c r="T106">
        <f t="shared" si="38"/>
        <v>0</v>
      </c>
      <c r="U106">
        <f t="shared" si="31"/>
        <v>0</v>
      </c>
      <c r="V106">
        <f t="shared" si="26"/>
        <v>0</v>
      </c>
      <c r="W106">
        <f t="shared" si="29"/>
        <v>0</v>
      </c>
      <c r="X106" t="s">
        <v>394</v>
      </c>
      <c r="Y106" t="s">
        <v>70</v>
      </c>
      <c r="Z106" s="3" t="s">
        <v>319</v>
      </c>
      <c r="AA106" t="s">
        <v>325</v>
      </c>
      <c r="AB106">
        <v>23.25</v>
      </c>
      <c r="AC106" s="8" t="s">
        <v>1071</v>
      </c>
      <c r="AD106" s="8"/>
      <c r="AE106" s="8">
        <v>175</v>
      </c>
      <c r="AF106" s="8"/>
      <c r="AG106" s="8" t="s">
        <v>1036</v>
      </c>
      <c r="AH106" s="8" t="s">
        <v>1032</v>
      </c>
      <c r="AI106" s="11">
        <v>0.28999999999999998</v>
      </c>
      <c r="AJ106" s="11">
        <v>2.2000000000000002</v>
      </c>
      <c r="AK106" s="11">
        <v>71.046889999999991</v>
      </c>
      <c r="AL106" s="11">
        <v>76.275067825241536</v>
      </c>
      <c r="AM106" s="11">
        <v>57.775199999999998</v>
      </c>
      <c r="AN106" s="8" t="s">
        <v>1032</v>
      </c>
      <c r="AO106" s="8" t="s">
        <v>1047</v>
      </c>
    </row>
    <row r="107" spans="2:41" x14ac:dyDescent="0.25">
      <c r="B107" t="s">
        <v>305</v>
      </c>
      <c r="C107" t="s">
        <v>395</v>
      </c>
      <c r="D107" t="s">
        <v>12</v>
      </c>
      <c r="E107" t="s">
        <v>14</v>
      </c>
      <c r="F107">
        <v>2</v>
      </c>
      <c r="G107">
        <v>357.5</v>
      </c>
      <c r="H107">
        <v>656.3</v>
      </c>
      <c r="I107">
        <v>54.5</v>
      </c>
      <c r="K107" t="s">
        <v>317</v>
      </c>
      <c r="L107">
        <f t="shared" si="33"/>
        <v>1</v>
      </c>
      <c r="M107">
        <f t="shared" si="28"/>
        <v>0</v>
      </c>
      <c r="N107">
        <f t="shared" si="34"/>
        <v>0</v>
      </c>
      <c r="O107">
        <f t="shared" si="35"/>
        <v>0</v>
      </c>
      <c r="P107">
        <f t="shared" si="36"/>
        <v>0</v>
      </c>
      <c r="Q107">
        <f t="shared" si="37"/>
        <v>0</v>
      </c>
      <c r="R107">
        <f t="shared" si="30"/>
        <v>0</v>
      </c>
      <c r="S107">
        <f>IF(K107="Contaminated", 1, 0)</f>
        <v>1</v>
      </c>
      <c r="T107">
        <f t="shared" si="38"/>
        <v>0</v>
      </c>
      <c r="U107">
        <f t="shared" si="31"/>
        <v>0</v>
      </c>
      <c r="V107">
        <f t="shared" si="26"/>
        <v>0</v>
      </c>
      <c r="W107">
        <f t="shared" si="29"/>
        <v>0</v>
      </c>
      <c r="X107" t="s">
        <v>396</v>
      </c>
      <c r="Y107" t="s">
        <v>75</v>
      </c>
      <c r="Z107" s="3" t="s">
        <v>397</v>
      </c>
      <c r="AA107" t="s">
        <v>314</v>
      </c>
      <c r="AB107">
        <v>23.25</v>
      </c>
      <c r="AC107" s="8" t="s">
        <v>1071</v>
      </c>
      <c r="AD107" s="8"/>
      <c r="AE107" s="8">
        <v>175</v>
      </c>
      <c r="AF107" s="8"/>
      <c r="AG107" s="8" t="s">
        <v>1036</v>
      </c>
      <c r="AH107" s="8" t="s">
        <v>1032</v>
      </c>
      <c r="AI107" s="11">
        <v>0.28999999999999998</v>
      </c>
      <c r="AJ107" s="11">
        <v>2.2000000000000002</v>
      </c>
      <c r="AK107" s="11">
        <v>71.046889999999991</v>
      </c>
      <c r="AL107" s="11">
        <v>76.275067825241536</v>
      </c>
      <c r="AM107" s="11">
        <v>57.775199999999998</v>
      </c>
      <c r="AN107" s="8" t="s">
        <v>1032</v>
      </c>
      <c r="AO107" s="8" t="s">
        <v>1047</v>
      </c>
    </row>
    <row r="108" spans="2:41" x14ac:dyDescent="0.25">
      <c r="B108" t="s">
        <v>305</v>
      </c>
      <c r="C108" t="s">
        <v>398</v>
      </c>
      <c r="D108" t="s">
        <v>12</v>
      </c>
      <c r="E108" t="s">
        <v>14</v>
      </c>
      <c r="F108">
        <v>2</v>
      </c>
      <c r="G108">
        <v>346.5</v>
      </c>
      <c r="H108">
        <v>593.29999999999995</v>
      </c>
      <c r="I108">
        <v>58.4</v>
      </c>
      <c r="L108">
        <f t="shared" si="33"/>
        <v>0</v>
      </c>
      <c r="M108">
        <f t="shared" si="28"/>
        <v>0</v>
      </c>
      <c r="N108">
        <f t="shared" si="34"/>
        <v>0</v>
      </c>
      <c r="O108">
        <f t="shared" si="35"/>
        <v>0</v>
      </c>
      <c r="P108">
        <f t="shared" si="36"/>
        <v>0</v>
      </c>
      <c r="Q108">
        <f t="shared" si="37"/>
        <v>0</v>
      </c>
      <c r="R108">
        <f t="shared" si="30"/>
        <v>0</v>
      </c>
      <c r="S108">
        <f t="shared" ref="S108:S171" si="39">IF(K108="Contaminated", 1, 0)</f>
        <v>0</v>
      </c>
      <c r="T108">
        <f t="shared" si="38"/>
        <v>0</v>
      </c>
      <c r="U108">
        <f t="shared" si="31"/>
        <v>0</v>
      </c>
      <c r="V108">
        <f t="shared" si="26"/>
        <v>0</v>
      </c>
      <c r="W108">
        <f t="shared" si="29"/>
        <v>0</v>
      </c>
      <c r="X108" t="s">
        <v>399</v>
      </c>
      <c r="Y108" t="s">
        <v>79</v>
      </c>
      <c r="Z108" s="3" t="s">
        <v>400</v>
      </c>
      <c r="AA108" t="s">
        <v>310</v>
      </c>
      <c r="AB108">
        <v>23.25</v>
      </c>
      <c r="AC108" s="8" t="s">
        <v>1071</v>
      </c>
      <c r="AD108" s="8"/>
      <c r="AE108" s="8">
        <v>175</v>
      </c>
      <c r="AF108" s="8"/>
      <c r="AG108" s="8" t="s">
        <v>1036</v>
      </c>
      <c r="AH108" s="8" t="s">
        <v>1032</v>
      </c>
      <c r="AI108" s="11">
        <v>0.28999999999999998</v>
      </c>
      <c r="AJ108" s="11">
        <v>2.2000000000000002</v>
      </c>
      <c r="AK108" s="11">
        <v>71.046889999999991</v>
      </c>
      <c r="AL108" s="11">
        <v>76.275067825241536</v>
      </c>
      <c r="AM108" s="11">
        <v>57.775199999999998</v>
      </c>
      <c r="AN108" s="8" t="s">
        <v>1032</v>
      </c>
      <c r="AO108" s="8" t="s">
        <v>1047</v>
      </c>
    </row>
    <row r="109" spans="2:41" x14ac:dyDescent="0.25">
      <c r="B109" t="s">
        <v>305</v>
      </c>
      <c r="C109" t="s">
        <v>401</v>
      </c>
      <c r="D109" t="s">
        <v>12</v>
      </c>
      <c r="E109" t="s">
        <v>14</v>
      </c>
      <c r="F109">
        <v>2</v>
      </c>
      <c r="G109">
        <v>336</v>
      </c>
      <c r="H109">
        <v>602.5</v>
      </c>
      <c r="I109">
        <v>55.8</v>
      </c>
      <c r="L109">
        <f t="shared" si="33"/>
        <v>0</v>
      </c>
      <c r="M109">
        <f t="shared" si="28"/>
        <v>0</v>
      </c>
      <c r="N109">
        <f t="shared" si="34"/>
        <v>0</v>
      </c>
      <c r="O109">
        <f t="shared" si="35"/>
        <v>0</v>
      </c>
      <c r="P109">
        <f t="shared" si="36"/>
        <v>0</v>
      </c>
      <c r="Q109">
        <f t="shared" si="37"/>
        <v>0</v>
      </c>
      <c r="R109">
        <f t="shared" si="30"/>
        <v>0</v>
      </c>
      <c r="S109">
        <f t="shared" si="39"/>
        <v>0</v>
      </c>
      <c r="T109">
        <f t="shared" si="38"/>
        <v>0</v>
      </c>
      <c r="U109">
        <f t="shared" si="31"/>
        <v>0</v>
      </c>
      <c r="V109">
        <f t="shared" si="26"/>
        <v>0</v>
      </c>
      <c r="W109">
        <f t="shared" si="29"/>
        <v>0</v>
      </c>
      <c r="X109" t="s">
        <v>402</v>
      </c>
      <c r="Y109" t="s">
        <v>403</v>
      </c>
      <c r="Z109" s="3" t="s">
        <v>404</v>
      </c>
      <c r="AA109" t="s">
        <v>322</v>
      </c>
      <c r="AB109">
        <v>23.25</v>
      </c>
      <c r="AC109" s="8" t="s">
        <v>1071</v>
      </c>
      <c r="AD109" s="8"/>
      <c r="AE109" s="8">
        <v>175</v>
      </c>
      <c r="AF109" s="8"/>
      <c r="AG109" s="8" t="s">
        <v>1036</v>
      </c>
      <c r="AH109" s="8" t="s">
        <v>1032</v>
      </c>
      <c r="AI109" s="11">
        <v>0.28999999999999998</v>
      </c>
      <c r="AJ109" s="11">
        <v>2.2000000000000002</v>
      </c>
      <c r="AK109" s="11">
        <v>71.046889999999991</v>
      </c>
      <c r="AL109" s="11">
        <v>76.275067825241536</v>
      </c>
      <c r="AM109" s="11">
        <v>57.775199999999998</v>
      </c>
      <c r="AN109" s="8" t="s">
        <v>1032</v>
      </c>
      <c r="AO109" s="8" t="s">
        <v>1047</v>
      </c>
    </row>
    <row r="110" spans="2:41" x14ac:dyDescent="0.25">
      <c r="B110" t="s">
        <v>305</v>
      </c>
      <c r="C110" t="s">
        <v>405</v>
      </c>
      <c r="D110" t="s">
        <v>12</v>
      </c>
      <c r="E110" t="s">
        <v>14</v>
      </c>
      <c r="F110">
        <v>2</v>
      </c>
      <c r="G110">
        <v>331</v>
      </c>
      <c r="H110">
        <v>593</v>
      </c>
      <c r="I110">
        <v>55.8</v>
      </c>
      <c r="L110">
        <f t="shared" si="33"/>
        <v>0</v>
      </c>
      <c r="M110">
        <f t="shared" si="28"/>
        <v>0</v>
      </c>
      <c r="N110">
        <f t="shared" si="34"/>
        <v>0</v>
      </c>
      <c r="O110">
        <f t="shared" si="35"/>
        <v>0</v>
      </c>
      <c r="P110">
        <f t="shared" si="36"/>
        <v>0</v>
      </c>
      <c r="Q110">
        <f t="shared" si="37"/>
        <v>0</v>
      </c>
      <c r="R110">
        <f t="shared" si="30"/>
        <v>0</v>
      </c>
      <c r="S110">
        <f t="shared" si="39"/>
        <v>0</v>
      </c>
      <c r="T110">
        <f t="shared" si="38"/>
        <v>0</v>
      </c>
      <c r="U110">
        <f t="shared" si="31"/>
        <v>0</v>
      </c>
      <c r="V110">
        <f t="shared" si="26"/>
        <v>0</v>
      </c>
      <c r="W110">
        <f t="shared" si="29"/>
        <v>0</v>
      </c>
      <c r="X110" t="s">
        <v>406</v>
      </c>
      <c r="Y110" t="s">
        <v>84</v>
      </c>
      <c r="Z110" s="3" t="s">
        <v>407</v>
      </c>
      <c r="AA110" t="s">
        <v>354</v>
      </c>
      <c r="AB110">
        <v>23.25</v>
      </c>
      <c r="AC110" s="8" t="s">
        <v>1071</v>
      </c>
      <c r="AD110" s="8"/>
      <c r="AE110" s="8">
        <v>175</v>
      </c>
      <c r="AF110" s="8"/>
      <c r="AG110" s="8" t="s">
        <v>1036</v>
      </c>
      <c r="AH110" s="8" t="s">
        <v>1032</v>
      </c>
      <c r="AI110" s="11">
        <v>0.28999999999999998</v>
      </c>
      <c r="AJ110" s="11">
        <v>2.2000000000000002</v>
      </c>
      <c r="AK110" s="11">
        <v>71.046889999999991</v>
      </c>
      <c r="AL110" s="11">
        <v>76.275067825241536</v>
      </c>
      <c r="AM110" s="11">
        <v>57.775199999999998</v>
      </c>
      <c r="AN110" s="8" t="s">
        <v>1032</v>
      </c>
      <c r="AO110" s="8" t="s">
        <v>1047</v>
      </c>
    </row>
    <row r="111" spans="2:41" x14ac:dyDescent="0.25">
      <c r="B111" t="s">
        <v>305</v>
      </c>
      <c r="C111" t="s">
        <v>408</v>
      </c>
      <c r="D111" t="s">
        <v>12</v>
      </c>
      <c r="E111" t="s">
        <v>14</v>
      </c>
      <c r="F111">
        <v>2</v>
      </c>
      <c r="G111">
        <v>324</v>
      </c>
      <c r="H111">
        <v>575.6</v>
      </c>
      <c r="I111">
        <v>56.3</v>
      </c>
      <c r="L111">
        <f t="shared" si="33"/>
        <v>0</v>
      </c>
      <c r="M111">
        <f t="shared" si="28"/>
        <v>0</v>
      </c>
      <c r="N111">
        <f t="shared" si="34"/>
        <v>0</v>
      </c>
      <c r="O111">
        <f t="shared" si="35"/>
        <v>0</v>
      </c>
      <c r="P111">
        <f t="shared" si="36"/>
        <v>0</v>
      </c>
      <c r="Q111">
        <f t="shared" si="37"/>
        <v>0</v>
      </c>
      <c r="R111">
        <f t="shared" si="30"/>
        <v>0</v>
      </c>
      <c r="S111">
        <f t="shared" si="39"/>
        <v>0</v>
      </c>
      <c r="T111">
        <f t="shared" si="38"/>
        <v>0</v>
      </c>
      <c r="U111">
        <f t="shared" si="31"/>
        <v>0</v>
      </c>
      <c r="V111">
        <f t="shared" si="26"/>
        <v>0</v>
      </c>
      <c r="W111">
        <f t="shared" si="29"/>
        <v>0</v>
      </c>
      <c r="X111" t="s">
        <v>409</v>
      </c>
      <c r="Y111" t="s">
        <v>410</v>
      </c>
      <c r="Z111" s="3" t="s">
        <v>411</v>
      </c>
      <c r="AA111" t="s">
        <v>320</v>
      </c>
      <c r="AB111">
        <v>23.25</v>
      </c>
      <c r="AC111" s="8" t="s">
        <v>1071</v>
      </c>
      <c r="AD111" s="8"/>
      <c r="AE111" s="8">
        <v>175</v>
      </c>
      <c r="AF111" s="8"/>
      <c r="AG111" s="8" t="s">
        <v>1036</v>
      </c>
      <c r="AH111" s="8" t="s">
        <v>1032</v>
      </c>
      <c r="AI111" s="11">
        <v>0.28999999999999998</v>
      </c>
      <c r="AJ111" s="11">
        <v>2.2000000000000002</v>
      </c>
      <c r="AK111" s="11">
        <v>71.046889999999991</v>
      </c>
      <c r="AL111" s="11">
        <v>76.275067825241536</v>
      </c>
      <c r="AM111" s="11">
        <v>57.775199999999998</v>
      </c>
      <c r="AN111" s="8" t="s">
        <v>1032</v>
      </c>
      <c r="AO111" s="8" t="s">
        <v>1047</v>
      </c>
    </row>
    <row r="112" spans="2:41" x14ac:dyDescent="0.25">
      <c r="B112" t="s">
        <v>305</v>
      </c>
      <c r="C112" t="s">
        <v>412</v>
      </c>
      <c r="D112" t="s">
        <v>12</v>
      </c>
      <c r="E112" t="s">
        <v>14</v>
      </c>
      <c r="F112">
        <v>2</v>
      </c>
      <c r="G112">
        <v>339.5</v>
      </c>
      <c r="H112">
        <v>618.9</v>
      </c>
      <c r="I112">
        <v>54.9</v>
      </c>
      <c r="L112">
        <f t="shared" si="33"/>
        <v>0</v>
      </c>
      <c r="M112">
        <f t="shared" si="28"/>
        <v>0</v>
      </c>
      <c r="N112">
        <f t="shared" si="34"/>
        <v>0</v>
      </c>
      <c r="O112">
        <f t="shared" si="35"/>
        <v>0</v>
      </c>
      <c r="P112">
        <f t="shared" si="36"/>
        <v>0</v>
      </c>
      <c r="Q112">
        <f t="shared" si="37"/>
        <v>0</v>
      </c>
      <c r="R112">
        <f t="shared" si="30"/>
        <v>0</v>
      </c>
      <c r="S112">
        <f t="shared" si="39"/>
        <v>0</v>
      </c>
      <c r="T112">
        <f t="shared" si="38"/>
        <v>0</v>
      </c>
      <c r="U112">
        <f t="shared" si="31"/>
        <v>0</v>
      </c>
      <c r="V112">
        <f t="shared" si="26"/>
        <v>0</v>
      </c>
      <c r="W112">
        <f t="shared" si="29"/>
        <v>0</v>
      </c>
      <c r="X112" t="s">
        <v>413</v>
      </c>
      <c r="Y112" t="s">
        <v>93</v>
      </c>
      <c r="Z112" s="3" t="s">
        <v>411</v>
      </c>
      <c r="AA112" t="s">
        <v>310</v>
      </c>
      <c r="AB112">
        <v>23.25</v>
      </c>
      <c r="AC112" s="8" t="s">
        <v>1071</v>
      </c>
      <c r="AD112" s="8"/>
      <c r="AE112" s="8">
        <v>175</v>
      </c>
      <c r="AF112" s="8"/>
      <c r="AG112" s="8" t="s">
        <v>1036</v>
      </c>
      <c r="AH112" s="8" t="s">
        <v>1032</v>
      </c>
      <c r="AI112" s="11">
        <v>0.28999999999999998</v>
      </c>
      <c r="AJ112" s="11">
        <v>2.2000000000000002</v>
      </c>
      <c r="AK112" s="11">
        <v>71.046889999999991</v>
      </c>
      <c r="AL112" s="11">
        <v>76.275067825241536</v>
      </c>
      <c r="AM112" s="11">
        <v>57.775199999999998</v>
      </c>
      <c r="AN112" s="8" t="s">
        <v>1032</v>
      </c>
      <c r="AO112" s="8" t="s">
        <v>1047</v>
      </c>
    </row>
    <row r="113" spans="1:41" x14ac:dyDescent="0.25">
      <c r="B113" t="s">
        <v>305</v>
      </c>
      <c r="C113" t="s">
        <v>414</v>
      </c>
      <c r="D113" t="s">
        <v>12</v>
      </c>
      <c r="E113" t="s">
        <v>14</v>
      </c>
      <c r="F113">
        <v>2</v>
      </c>
      <c r="G113">
        <v>351</v>
      </c>
      <c r="H113">
        <v>619.4</v>
      </c>
      <c r="I113">
        <v>56.7</v>
      </c>
      <c r="L113">
        <f t="shared" si="33"/>
        <v>0</v>
      </c>
      <c r="M113">
        <f t="shared" si="28"/>
        <v>0</v>
      </c>
      <c r="N113">
        <f t="shared" si="34"/>
        <v>0</v>
      </c>
      <c r="O113">
        <f t="shared" si="35"/>
        <v>0</v>
      </c>
      <c r="P113">
        <f t="shared" si="36"/>
        <v>0</v>
      </c>
      <c r="Q113">
        <f t="shared" si="37"/>
        <v>0</v>
      </c>
      <c r="R113">
        <f t="shared" si="30"/>
        <v>0</v>
      </c>
      <c r="S113">
        <f t="shared" si="39"/>
        <v>0</v>
      </c>
      <c r="T113">
        <f t="shared" si="38"/>
        <v>0</v>
      </c>
      <c r="U113">
        <f t="shared" si="31"/>
        <v>0</v>
      </c>
      <c r="V113">
        <f t="shared" si="26"/>
        <v>0</v>
      </c>
      <c r="W113">
        <f t="shared" si="29"/>
        <v>0</v>
      </c>
      <c r="X113" t="s">
        <v>415</v>
      </c>
      <c r="Y113" t="s">
        <v>97</v>
      </c>
      <c r="Z113" s="3" t="s">
        <v>416</v>
      </c>
      <c r="AA113" t="s">
        <v>314</v>
      </c>
      <c r="AB113">
        <v>23.25</v>
      </c>
      <c r="AC113" s="8" t="s">
        <v>1071</v>
      </c>
      <c r="AD113" s="8"/>
      <c r="AE113" s="8">
        <v>175</v>
      </c>
      <c r="AF113" s="8"/>
      <c r="AG113" s="8" t="s">
        <v>1036</v>
      </c>
      <c r="AH113" s="8" t="s">
        <v>1032</v>
      </c>
      <c r="AI113" s="11">
        <v>0.28999999999999998</v>
      </c>
      <c r="AJ113" s="11">
        <v>2.2000000000000002</v>
      </c>
      <c r="AK113" s="11">
        <v>71.046889999999991</v>
      </c>
      <c r="AL113" s="11">
        <v>76.275067825241536</v>
      </c>
      <c r="AM113" s="11">
        <v>57.775199999999998</v>
      </c>
      <c r="AN113" s="8" t="s">
        <v>1032</v>
      </c>
      <c r="AO113" s="8" t="s">
        <v>1047</v>
      </c>
    </row>
    <row r="114" spans="1:41" x14ac:dyDescent="0.25">
      <c r="B114" t="s">
        <v>305</v>
      </c>
      <c r="C114" t="s">
        <v>417</v>
      </c>
      <c r="D114" t="s">
        <v>12</v>
      </c>
      <c r="E114" t="s">
        <v>14</v>
      </c>
      <c r="F114">
        <v>2</v>
      </c>
      <c r="G114">
        <v>328</v>
      </c>
      <c r="H114">
        <v>603.9</v>
      </c>
      <c r="I114">
        <v>54.3</v>
      </c>
      <c r="L114">
        <f t="shared" si="33"/>
        <v>0</v>
      </c>
      <c r="M114">
        <f t="shared" si="28"/>
        <v>0</v>
      </c>
      <c r="N114">
        <f t="shared" si="34"/>
        <v>0</v>
      </c>
      <c r="O114">
        <f t="shared" si="35"/>
        <v>0</v>
      </c>
      <c r="P114">
        <f t="shared" si="36"/>
        <v>0</v>
      </c>
      <c r="Q114">
        <f t="shared" si="37"/>
        <v>0</v>
      </c>
      <c r="R114">
        <f t="shared" si="30"/>
        <v>0</v>
      </c>
      <c r="S114">
        <f t="shared" si="39"/>
        <v>0</v>
      </c>
      <c r="T114">
        <f t="shared" si="38"/>
        <v>0</v>
      </c>
      <c r="U114">
        <f t="shared" si="31"/>
        <v>0</v>
      </c>
      <c r="V114">
        <f t="shared" si="26"/>
        <v>0</v>
      </c>
      <c r="W114">
        <f t="shared" si="29"/>
        <v>0</v>
      </c>
      <c r="X114" t="s">
        <v>418</v>
      </c>
      <c r="Y114" t="s">
        <v>97</v>
      </c>
      <c r="Z114" s="3" t="s">
        <v>419</v>
      </c>
      <c r="AA114" t="s">
        <v>316</v>
      </c>
      <c r="AB114">
        <v>23.25</v>
      </c>
      <c r="AC114" s="8" t="s">
        <v>1071</v>
      </c>
      <c r="AD114" s="8"/>
      <c r="AE114" s="8">
        <v>175</v>
      </c>
      <c r="AF114" s="8"/>
      <c r="AG114" s="8" t="s">
        <v>1036</v>
      </c>
      <c r="AH114" s="8" t="s">
        <v>1032</v>
      </c>
      <c r="AI114" s="11">
        <v>0.28999999999999998</v>
      </c>
      <c r="AJ114" s="11">
        <v>2.2000000000000002</v>
      </c>
      <c r="AK114" s="11">
        <v>71.046889999999991</v>
      </c>
      <c r="AL114" s="11">
        <v>76.275067825241536</v>
      </c>
      <c r="AM114" s="11">
        <v>57.775199999999998</v>
      </c>
      <c r="AN114" s="8" t="s">
        <v>1032</v>
      </c>
      <c r="AO114" s="8" t="s">
        <v>1047</v>
      </c>
    </row>
    <row r="115" spans="1:41" x14ac:dyDescent="0.25">
      <c r="B115" t="s">
        <v>305</v>
      </c>
      <c r="C115" t="s">
        <v>420</v>
      </c>
      <c r="D115" t="s">
        <v>12</v>
      </c>
      <c r="E115" t="s">
        <v>14</v>
      </c>
      <c r="F115">
        <v>2</v>
      </c>
      <c r="G115">
        <v>355</v>
      </c>
      <c r="H115">
        <v>662.1</v>
      </c>
      <c r="I115">
        <v>53.6</v>
      </c>
      <c r="L115">
        <f t="shared" si="33"/>
        <v>0</v>
      </c>
      <c r="M115">
        <f t="shared" si="28"/>
        <v>0</v>
      </c>
      <c r="N115">
        <f t="shared" si="34"/>
        <v>0</v>
      </c>
      <c r="O115">
        <f t="shared" si="35"/>
        <v>0</v>
      </c>
      <c r="P115">
        <f t="shared" si="36"/>
        <v>0</v>
      </c>
      <c r="Q115">
        <f t="shared" si="37"/>
        <v>0</v>
      </c>
      <c r="R115">
        <f t="shared" si="30"/>
        <v>0</v>
      </c>
      <c r="S115">
        <f t="shared" si="39"/>
        <v>0</v>
      </c>
      <c r="T115">
        <f t="shared" si="38"/>
        <v>0</v>
      </c>
      <c r="U115">
        <f t="shared" si="31"/>
        <v>0</v>
      </c>
      <c r="V115">
        <f t="shared" si="26"/>
        <v>0</v>
      </c>
      <c r="W115">
        <f t="shared" si="29"/>
        <v>0</v>
      </c>
      <c r="X115" t="s">
        <v>421</v>
      </c>
      <c r="Y115" t="s">
        <v>105</v>
      </c>
      <c r="Z115" s="3" t="s">
        <v>422</v>
      </c>
      <c r="AA115" t="s">
        <v>316</v>
      </c>
      <c r="AB115">
        <v>23.25</v>
      </c>
      <c r="AC115" s="8" t="s">
        <v>1071</v>
      </c>
      <c r="AD115" s="8"/>
      <c r="AE115" s="8">
        <v>175</v>
      </c>
      <c r="AF115" s="8"/>
      <c r="AG115" s="8" t="s">
        <v>1036</v>
      </c>
      <c r="AH115" s="8" t="s">
        <v>1032</v>
      </c>
      <c r="AI115" s="11">
        <v>0.28999999999999998</v>
      </c>
      <c r="AJ115" s="11">
        <v>2.2000000000000002</v>
      </c>
      <c r="AK115" s="11">
        <v>71.046889999999991</v>
      </c>
      <c r="AL115" s="11">
        <v>76.275067825241536</v>
      </c>
      <c r="AM115" s="11">
        <v>57.775199999999998</v>
      </c>
      <c r="AN115" s="8" t="s">
        <v>1032</v>
      </c>
      <c r="AO115" s="8" t="s">
        <v>1047</v>
      </c>
    </row>
    <row r="116" spans="1:41" x14ac:dyDescent="0.25">
      <c r="B116" t="s">
        <v>305</v>
      </c>
      <c r="C116" t="s">
        <v>423</v>
      </c>
      <c r="D116" t="s">
        <v>12</v>
      </c>
      <c r="E116" t="s">
        <v>14</v>
      </c>
      <c r="F116">
        <v>2</v>
      </c>
      <c r="G116">
        <v>341.5</v>
      </c>
      <c r="H116">
        <v>601.6</v>
      </c>
      <c r="I116">
        <v>56.8</v>
      </c>
      <c r="L116">
        <f t="shared" si="33"/>
        <v>0</v>
      </c>
      <c r="M116">
        <f t="shared" si="28"/>
        <v>0</v>
      </c>
      <c r="N116">
        <f t="shared" si="34"/>
        <v>0</v>
      </c>
      <c r="O116">
        <f t="shared" si="35"/>
        <v>0</v>
      </c>
      <c r="P116">
        <f t="shared" si="36"/>
        <v>0</v>
      </c>
      <c r="Q116">
        <f t="shared" si="37"/>
        <v>0</v>
      </c>
      <c r="R116">
        <f t="shared" si="30"/>
        <v>0</v>
      </c>
      <c r="S116">
        <f t="shared" si="39"/>
        <v>0</v>
      </c>
      <c r="T116">
        <f t="shared" si="38"/>
        <v>0</v>
      </c>
      <c r="U116">
        <f t="shared" si="31"/>
        <v>0</v>
      </c>
      <c r="V116">
        <f t="shared" si="26"/>
        <v>0</v>
      </c>
      <c r="W116">
        <f t="shared" si="29"/>
        <v>0</v>
      </c>
      <c r="X116" t="s">
        <v>424</v>
      </c>
      <c r="Y116" t="s">
        <v>105</v>
      </c>
      <c r="Z116" s="3" t="s">
        <v>425</v>
      </c>
      <c r="AA116" t="s">
        <v>320</v>
      </c>
      <c r="AB116">
        <v>23.25</v>
      </c>
      <c r="AC116" s="8" t="s">
        <v>1071</v>
      </c>
      <c r="AD116" s="8"/>
      <c r="AE116" s="8">
        <v>175</v>
      </c>
      <c r="AF116" s="8"/>
      <c r="AG116" s="8" t="s">
        <v>1036</v>
      </c>
      <c r="AH116" s="8" t="s">
        <v>1032</v>
      </c>
      <c r="AI116" s="11">
        <v>0.28999999999999998</v>
      </c>
      <c r="AJ116" s="11">
        <v>2.2000000000000002</v>
      </c>
      <c r="AK116" s="11">
        <v>71.046889999999991</v>
      </c>
      <c r="AL116" s="11">
        <v>76.275067825241536</v>
      </c>
      <c r="AM116" s="11">
        <v>57.775199999999998</v>
      </c>
      <c r="AN116" s="8" t="s">
        <v>1032</v>
      </c>
      <c r="AO116" s="8" t="s">
        <v>1047</v>
      </c>
    </row>
    <row r="117" spans="1:41" x14ac:dyDescent="0.25">
      <c r="A117" s="2"/>
      <c r="B117" s="2" t="s">
        <v>305</v>
      </c>
      <c r="C117" s="2" t="s">
        <v>426</v>
      </c>
      <c r="D117" s="2" t="s">
        <v>12</v>
      </c>
      <c r="E117" s="2" t="s">
        <v>14</v>
      </c>
      <c r="F117" s="2">
        <v>2</v>
      </c>
      <c r="G117" s="2">
        <v>354</v>
      </c>
      <c r="H117" s="2">
        <v>641.79999999999995</v>
      </c>
      <c r="I117" s="2">
        <v>55.2</v>
      </c>
      <c r="J117" s="2"/>
      <c r="K117" s="2" t="s">
        <v>86</v>
      </c>
      <c r="L117" s="2">
        <f t="shared" si="33"/>
        <v>1</v>
      </c>
      <c r="M117" s="2">
        <f t="shared" si="28"/>
        <v>0</v>
      </c>
      <c r="N117" s="2">
        <f t="shared" si="34"/>
        <v>0</v>
      </c>
      <c r="O117" s="2">
        <f t="shared" si="35"/>
        <v>1</v>
      </c>
      <c r="P117" s="2">
        <f t="shared" si="36"/>
        <v>0</v>
      </c>
      <c r="Q117" s="2">
        <f t="shared" si="37"/>
        <v>0</v>
      </c>
      <c r="R117" s="2">
        <f t="shared" si="30"/>
        <v>0</v>
      </c>
      <c r="S117" s="2">
        <f t="shared" si="39"/>
        <v>0</v>
      </c>
      <c r="T117" s="2">
        <f t="shared" si="38"/>
        <v>0</v>
      </c>
      <c r="U117" s="2">
        <f t="shared" si="31"/>
        <v>0</v>
      </c>
      <c r="V117" s="2">
        <f t="shared" si="26"/>
        <v>0</v>
      </c>
      <c r="W117" s="2">
        <f t="shared" si="29"/>
        <v>0</v>
      </c>
      <c r="X117" s="2" t="s">
        <v>427</v>
      </c>
      <c r="Y117" s="2" t="s">
        <v>428</v>
      </c>
      <c r="Z117" s="6" t="s">
        <v>429</v>
      </c>
      <c r="AA117" s="2" t="s">
        <v>314</v>
      </c>
      <c r="AB117" s="2">
        <v>23.25</v>
      </c>
      <c r="AC117" s="9" t="s">
        <v>1071</v>
      </c>
      <c r="AD117" s="9"/>
      <c r="AE117" s="9">
        <v>175</v>
      </c>
      <c r="AF117" s="9"/>
      <c r="AG117" s="9" t="s">
        <v>1036</v>
      </c>
      <c r="AH117" s="9" t="s">
        <v>1032</v>
      </c>
      <c r="AI117" s="19">
        <v>0.28999999999999998</v>
      </c>
      <c r="AJ117" s="19">
        <v>2.2000000000000002</v>
      </c>
      <c r="AK117" s="19">
        <v>71.046889999999991</v>
      </c>
      <c r="AL117" s="19">
        <v>76.275067825241536</v>
      </c>
      <c r="AM117" s="19">
        <v>57.775199999999998</v>
      </c>
      <c r="AN117" s="9" t="s">
        <v>1032</v>
      </c>
      <c r="AO117" s="9" t="s">
        <v>1047</v>
      </c>
    </row>
    <row r="118" spans="1:41" ht="15.75" x14ac:dyDescent="0.25">
      <c r="A118" s="7">
        <v>44546</v>
      </c>
      <c r="B118" t="s">
        <v>430</v>
      </c>
      <c r="C118" t="s">
        <v>431</v>
      </c>
      <c r="D118" t="s">
        <v>12</v>
      </c>
      <c r="E118" t="s">
        <v>14</v>
      </c>
      <c r="F118">
        <v>4</v>
      </c>
      <c r="G118">
        <v>343.5</v>
      </c>
      <c r="H118">
        <v>641</v>
      </c>
      <c r="I118">
        <v>53.6</v>
      </c>
      <c r="L118">
        <f t="shared" si="33"/>
        <v>0</v>
      </c>
      <c r="M118">
        <f t="shared" si="28"/>
        <v>0</v>
      </c>
      <c r="N118">
        <f t="shared" si="34"/>
        <v>0</v>
      </c>
      <c r="O118">
        <f t="shared" si="35"/>
        <v>0</v>
      </c>
      <c r="P118">
        <f t="shared" si="36"/>
        <v>0</v>
      </c>
      <c r="Q118">
        <f t="shared" si="37"/>
        <v>0</v>
      </c>
      <c r="R118">
        <f t="shared" si="30"/>
        <v>0</v>
      </c>
      <c r="S118">
        <f t="shared" si="39"/>
        <v>0</v>
      </c>
      <c r="T118">
        <f t="shared" si="38"/>
        <v>0</v>
      </c>
      <c r="U118">
        <f t="shared" si="31"/>
        <v>0</v>
      </c>
      <c r="V118">
        <f t="shared" ref="V118:V181" si="40">IF(K118="Peritonitis", 1, 0)</f>
        <v>0</v>
      </c>
      <c r="W118">
        <f t="shared" si="29"/>
        <v>0</v>
      </c>
      <c r="X118" t="s">
        <v>432</v>
      </c>
      <c r="Y118" t="s">
        <v>296</v>
      </c>
      <c r="Z118" s="3" t="s">
        <v>166</v>
      </c>
      <c r="AB118">
        <v>22.5</v>
      </c>
      <c r="AC118" s="8" t="s">
        <v>1071</v>
      </c>
      <c r="AD118" s="8"/>
      <c r="AE118" s="8">
        <v>175</v>
      </c>
      <c r="AF118" s="8"/>
      <c r="AG118" s="8" t="s">
        <v>1036</v>
      </c>
      <c r="AH118" s="8" t="s">
        <v>1032</v>
      </c>
      <c r="AI118" s="11">
        <v>0.28999999999999998</v>
      </c>
      <c r="AJ118" s="11">
        <v>12.799999999999994</v>
      </c>
      <c r="AK118" s="11">
        <v>73.969499999999996</v>
      </c>
      <c r="AL118" s="11">
        <v>79.407400228896719</v>
      </c>
      <c r="AM118" s="11">
        <v>61.793199999999999</v>
      </c>
      <c r="AN118" s="8" t="s">
        <v>1032</v>
      </c>
      <c r="AO118" s="8" t="s">
        <v>1047</v>
      </c>
    </row>
    <row r="119" spans="1:41" x14ac:dyDescent="0.25">
      <c r="C119" t="s">
        <v>433</v>
      </c>
      <c r="D119" t="s">
        <v>12</v>
      </c>
      <c r="E119" t="s">
        <v>14</v>
      </c>
      <c r="F119">
        <v>2</v>
      </c>
      <c r="G119">
        <v>314.5</v>
      </c>
      <c r="H119">
        <v>558.9</v>
      </c>
      <c r="I119">
        <v>56.3</v>
      </c>
      <c r="L119">
        <f t="shared" si="33"/>
        <v>0</v>
      </c>
      <c r="M119">
        <f t="shared" si="28"/>
        <v>0</v>
      </c>
      <c r="N119">
        <f t="shared" si="34"/>
        <v>0</v>
      </c>
      <c r="O119">
        <f t="shared" si="35"/>
        <v>0</v>
      </c>
      <c r="P119">
        <f t="shared" si="36"/>
        <v>0</v>
      </c>
      <c r="Q119">
        <f t="shared" si="37"/>
        <v>0</v>
      </c>
      <c r="R119">
        <f t="shared" si="30"/>
        <v>0</v>
      </c>
      <c r="S119">
        <f t="shared" si="39"/>
        <v>0</v>
      </c>
      <c r="T119">
        <f t="shared" si="38"/>
        <v>0</v>
      </c>
      <c r="U119">
        <f t="shared" si="31"/>
        <v>0</v>
      </c>
      <c r="V119">
        <f t="shared" si="40"/>
        <v>0</v>
      </c>
      <c r="W119">
        <f t="shared" si="29"/>
        <v>0</v>
      </c>
      <c r="X119" t="s">
        <v>434</v>
      </c>
      <c r="Y119" t="s">
        <v>299</v>
      </c>
      <c r="Z119" s="3" t="s">
        <v>170</v>
      </c>
      <c r="AA119" t="s">
        <v>435</v>
      </c>
      <c r="AB119">
        <f>(24-14.25)+12.5</f>
        <v>22.25</v>
      </c>
      <c r="AC119" s="8" t="s">
        <v>1071</v>
      </c>
      <c r="AD119" s="8"/>
      <c r="AE119" s="8">
        <v>175</v>
      </c>
      <c r="AF119" s="8"/>
      <c r="AG119" s="8" t="s">
        <v>1036</v>
      </c>
      <c r="AH119" s="8" t="s">
        <v>1032</v>
      </c>
      <c r="AI119" s="11">
        <v>0.28999999999999998</v>
      </c>
      <c r="AJ119" s="11">
        <v>12.799999999999994</v>
      </c>
      <c r="AK119" s="11">
        <v>73.969499999999996</v>
      </c>
      <c r="AL119" s="11">
        <v>79.407400228896719</v>
      </c>
      <c r="AM119" s="11">
        <v>61.793199999999999</v>
      </c>
      <c r="AN119" s="8" t="s">
        <v>1032</v>
      </c>
      <c r="AO119" s="8" t="s">
        <v>1047</v>
      </c>
    </row>
    <row r="120" spans="1:41" x14ac:dyDescent="0.25">
      <c r="C120" t="s">
        <v>436</v>
      </c>
      <c r="D120" t="s">
        <v>12</v>
      </c>
      <c r="E120" t="s">
        <v>14</v>
      </c>
      <c r="F120">
        <v>4</v>
      </c>
      <c r="G120">
        <v>389</v>
      </c>
      <c r="H120">
        <v>721.6</v>
      </c>
      <c r="I120">
        <v>53.9</v>
      </c>
      <c r="L120">
        <f t="shared" si="33"/>
        <v>0</v>
      </c>
      <c r="M120">
        <f t="shared" si="28"/>
        <v>0</v>
      </c>
      <c r="N120">
        <f t="shared" si="34"/>
        <v>0</v>
      </c>
      <c r="O120">
        <f t="shared" si="35"/>
        <v>0</v>
      </c>
      <c r="P120">
        <f t="shared" si="36"/>
        <v>0</v>
      </c>
      <c r="Q120">
        <f t="shared" si="37"/>
        <v>0</v>
      </c>
      <c r="R120">
        <f t="shared" si="30"/>
        <v>0</v>
      </c>
      <c r="S120">
        <f t="shared" si="39"/>
        <v>0</v>
      </c>
      <c r="T120">
        <f t="shared" si="38"/>
        <v>0</v>
      </c>
      <c r="U120">
        <f t="shared" si="31"/>
        <v>0</v>
      </c>
      <c r="V120">
        <f t="shared" si="40"/>
        <v>0</v>
      </c>
      <c r="W120">
        <f t="shared" si="29"/>
        <v>0</v>
      </c>
      <c r="X120" t="s">
        <v>437</v>
      </c>
      <c r="Y120" t="s">
        <v>299</v>
      </c>
      <c r="Z120" s="3" t="s">
        <v>177</v>
      </c>
      <c r="AA120" t="s">
        <v>438</v>
      </c>
      <c r="AB120">
        <v>22.5</v>
      </c>
      <c r="AC120" s="8" t="s">
        <v>1071</v>
      </c>
      <c r="AD120" s="8"/>
      <c r="AE120" s="8">
        <v>175</v>
      </c>
      <c r="AF120" s="8"/>
      <c r="AG120" s="8" t="s">
        <v>1036</v>
      </c>
      <c r="AH120" s="8" t="s">
        <v>1032</v>
      </c>
      <c r="AI120" s="11">
        <v>0.28999999999999998</v>
      </c>
      <c r="AJ120" s="11">
        <v>12.799999999999994</v>
      </c>
      <c r="AK120" s="11">
        <v>73.969499999999996</v>
      </c>
      <c r="AL120" s="11">
        <v>79.407400228896719</v>
      </c>
      <c r="AM120" s="11">
        <v>61.793199999999999</v>
      </c>
      <c r="AN120" s="8" t="s">
        <v>1032</v>
      </c>
      <c r="AO120" s="8" t="s">
        <v>1047</v>
      </c>
    </row>
    <row r="121" spans="1:41" x14ac:dyDescent="0.25">
      <c r="C121" t="s">
        <v>439</v>
      </c>
      <c r="D121" t="s">
        <v>12</v>
      </c>
      <c r="E121" t="s">
        <v>14</v>
      </c>
      <c r="F121">
        <v>4</v>
      </c>
      <c r="G121">
        <v>339</v>
      </c>
      <c r="H121">
        <v>633.5</v>
      </c>
      <c r="I121">
        <v>53.5</v>
      </c>
      <c r="L121">
        <f t="shared" si="33"/>
        <v>0</v>
      </c>
      <c r="M121">
        <f t="shared" si="28"/>
        <v>0</v>
      </c>
      <c r="N121">
        <f t="shared" si="34"/>
        <v>0</v>
      </c>
      <c r="O121">
        <f t="shared" si="35"/>
        <v>0</v>
      </c>
      <c r="P121">
        <f t="shared" si="36"/>
        <v>0</v>
      </c>
      <c r="Q121">
        <f t="shared" si="37"/>
        <v>0</v>
      </c>
      <c r="R121">
        <f t="shared" si="30"/>
        <v>0</v>
      </c>
      <c r="S121">
        <f t="shared" si="39"/>
        <v>0</v>
      </c>
      <c r="T121">
        <f t="shared" si="38"/>
        <v>0</v>
      </c>
      <c r="U121">
        <f t="shared" si="31"/>
        <v>0</v>
      </c>
      <c r="V121">
        <f t="shared" si="40"/>
        <v>0</v>
      </c>
      <c r="W121">
        <f t="shared" si="29"/>
        <v>0</v>
      </c>
      <c r="X121" t="s">
        <v>440</v>
      </c>
      <c r="Y121" t="s">
        <v>304</v>
      </c>
      <c r="Z121" s="3" t="s">
        <v>182</v>
      </c>
      <c r="AA121" t="s">
        <v>441</v>
      </c>
      <c r="AB121">
        <v>22.5</v>
      </c>
      <c r="AC121" s="8" t="s">
        <v>1071</v>
      </c>
      <c r="AD121" s="8"/>
      <c r="AE121" s="8">
        <v>175</v>
      </c>
      <c r="AF121" s="8"/>
      <c r="AG121" s="8" t="s">
        <v>1036</v>
      </c>
      <c r="AH121" s="8" t="s">
        <v>1032</v>
      </c>
      <c r="AI121" s="11">
        <v>0.28999999999999998</v>
      </c>
      <c r="AJ121" s="11">
        <v>12.799999999999994</v>
      </c>
      <c r="AK121" s="11">
        <v>73.969499999999996</v>
      </c>
      <c r="AL121" s="11">
        <v>79.407400228896719</v>
      </c>
      <c r="AM121" s="11">
        <v>61.793199999999999</v>
      </c>
      <c r="AN121" s="8" t="s">
        <v>1032</v>
      </c>
      <c r="AO121" s="8" t="s">
        <v>1047</v>
      </c>
    </row>
    <row r="122" spans="1:41" x14ac:dyDescent="0.25">
      <c r="C122" t="s">
        <v>442</v>
      </c>
      <c r="D122" t="s">
        <v>12</v>
      </c>
      <c r="E122" t="s">
        <v>14</v>
      </c>
      <c r="F122">
        <v>2</v>
      </c>
      <c r="G122">
        <v>330</v>
      </c>
      <c r="H122">
        <v>630</v>
      </c>
      <c r="I122">
        <v>52.4</v>
      </c>
      <c r="L122">
        <f t="shared" si="33"/>
        <v>0</v>
      </c>
      <c r="M122">
        <f t="shared" si="28"/>
        <v>0</v>
      </c>
      <c r="N122">
        <f t="shared" si="34"/>
        <v>0</v>
      </c>
      <c r="O122">
        <f t="shared" si="35"/>
        <v>0</v>
      </c>
      <c r="P122">
        <f t="shared" si="36"/>
        <v>0</v>
      </c>
      <c r="Q122">
        <f t="shared" si="37"/>
        <v>0</v>
      </c>
      <c r="R122">
        <f t="shared" si="30"/>
        <v>0</v>
      </c>
      <c r="S122">
        <f t="shared" si="39"/>
        <v>0</v>
      </c>
      <c r="T122">
        <f t="shared" si="38"/>
        <v>0</v>
      </c>
      <c r="U122">
        <f t="shared" si="31"/>
        <v>0</v>
      </c>
      <c r="V122">
        <f t="shared" si="40"/>
        <v>0</v>
      </c>
      <c r="W122">
        <f t="shared" si="29"/>
        <v>0</v>
      </c>
      <c r="X122" t="s">
        <v>443</v>
      </c>
      <c r="Y122" t="s">
        <v>444</v>
      </c>
      <c r="Z122" s="3" t="s">
        <v>190</v>
      </c>
      <c r="AB122">
        <v>22.5</v>
      </c>
      <c r="AC122" s="8" t="s">
        <v>1071</v>
      </c>
      <c r="AD122" s="8"/>
      <c r="AE122" s="8">
        <v>175</v>
      </c>
      <c r="AF122" s="8"/>
      <c r="AG122" s="8" t="s">
        <v>1036</v>
      </c>
      <c r="AH122" s="8" t="s">
        <v>1032</v>
      </c>
      <c r="AI122" s="11">
        <v>0.28999999999999998</v>
      </c>
      <c r="AJ122" s="11">
        <v>12.799999999999994</v>
      </c>
      <c r="AK122" s="11">
        <v>73.969499999999996</v>
      </c>
      <c r="AL122" s="11">
        <v>79.407400228896719</v>
      </c>
      <c r="AM122" s="11">
        <v>61.793199999999999</v>
      </c>
      <c r="AN122" s="8" t="s">
        <v>1032</v>
      </c>
      <c r="AO122" s="8" t="s">
        <v>1047</v>
      </c>
    </row>
    <row r="123" spans="1:41" x14ac:dyDescent="0.25">
      <c r="C123" t="s">
        <v>445</v>
      </c>
      <c r="D123" t="s">
        <v>12</v>
      </c>
      <c r="E123" t="s">
        <v>14</v>
      </c>
      <c r="F123">
        <v>2</v>
      </c>
      <c r="G123">
        <v>315</v>
      </c>
      <c r="H123">
        <v>559.29999999999995</v>
      </c>
      <c r="I123">
        <v>56.3</v>
      </c>
      <c r="L123">
        <f t="shared" si="33"/>
        <v>0</v>
      </c>
      <c r="M123">
        <f t="shared" si="28"/>
        <v>0</v>
      </c>
      <c r="N123">
        <f t="shared" si="34"/>
        <v>0</v>
      </c>
      <c r="O123">
        <f t="shared" si="35"/>
        <v>0</v>
      </c>
      <c r="P123">
        <f t="shared" si="36"/>
        <v>0</v>
      </c>
      <c r="Q123">
        <f t="shared" si="37"/>
        <v>0</v>
      </c>
      <c r="R123">
        <f t="shared" si="30"/>
        <v>0</v>
      </c>
      <c r="S123">
        <f t="shared" si="39"/>
        <v>0</v>
      </c>
      <c r="T123">
        <f t="shared" si="38"/>
        <v>0</v>
      </c>
      <c r="U123">
        <f t="shared" si="31"/>
        <v>0</v>
      </c>
      <c r="V123">
        <f t="shared" si="40"/>
        <v>0</v>
      </c>
      <c r="W123">
        <f t="shared" si="29"/>
        <v>0</v>
      </c>
      <c r="X123" t="s">
        <v>446</v>
      </c>
      <c r="Y123" t="s">
        <v>447</v>
      </c>
      <c r="Z123" s="3" t="s">
        <v>190</v>
      </c>
      <c r="AA123" t="s">
        <v>448</v>
      </c>
      <c r="AB123">
        <v>22.5</v>
      </c>
      <c r="AC123" s="8" t="s">
        <v>1071</v>
      </c>
      <c r="AD123" s="8"/>
      <c r="AE123" s="8">
        <v>175</v>
      </c>
      <c r="AF123" s="8"/>
      <c r="AG123" s="8" t="s">
        <v>1036</v>
      </c>
      <c r="AH123" s="8" t="s">
        <v>1032</v>
      </c>
      <c r="AI123" s="11">
        <v>0.28999999999999998</v>
      </c>
      <c r="AJ123" s="11">
        <v>12.799999999999994</v>
      </c>
      <c r="AK123" s="11">
        <v>73.969499999999996</v>
      </c>
      <c r="AL123" s="11">
        <v>79.407400228896719</v>
      </c>
      <c r="AM123" s="11">
        <v>61.793199999999999</v>
      </c>
      <c r="AN123" s="8" t="s">
        <v>1032</v>
      </c>
      <c r="AO123" s="8" t="s">
        <v>1047</v>
      </c>
    </row>
    <row r="124" spans="1:41" x14ac:dyDescent="0.25">
      <c r="C124" t="s">
        <v>449</v>
      </c>
      <c r="D124" t="s">
        <v>12</v>
      </c>
      <c r="E124" t="s">
        <v>14</v>
      </c>
      <c r="F124">
        <v>2</v>
      </c>
      <c r="G124">
        <v>301</v>
      </c>
      <c r="H124">
        <v>590.6</v>
      </c>
      <c r="I124">
        <v>51</v>
      </c>
      <c r="L124">
        <f t="shared" si="33"/>
        <v>0</v>
      </c>
      <c r="M124">
        <f t="shared" si="28"/>
        <v>0</v>
      </c>
      <c r="N124">
        <f t="shared" si="34"/>
        <v>0</v>
      </c>
      <c r="O124">
        <f t="shared" si="35"/>
        <v>0</v>
      </c>
      <c r="P124">
        <f t="shared" si="36"/>
        <v>0</v>
      </c>
      <c r="Q124">
        <f t="shared" si="37"/>
        <v>0</v>
      </c>
      <c r="R124">
        <f t="shared" si="30"/>
        <v>0</v>
      </c>
      <c r="S124">
        <f t="shared" si="39"/>
        <v>0</v>
      </c>
      <c r="T124">
        <f t="shared" si="38"/>
        <v>0</v>
      </c>
      <c r="U124">
        <f t="shared" si="31"/>
        <v>0</v>
      </c>
      <c r="V124">
        <f t="shared" si="40"/>
        <v>0</v>
      </c>
      <c r="W124">
        <f t="shared" si="29"/>
        <v>0</v>
      </c>
      <c r="X124" t="s">
        <v>450</v>
      </c>
      <c r="Y124" t="s">
        <v>451</v>
      </c>
      <c r="Z124" s="3" t="s">
        <v>345</v>
      </c>
      <c r="AA124" t="s">
        <v>452</v>
      </c>
      <c r="AB124">
        <v>22.5</v>
      </c>
      <c r="AC124" s="8" t="s">
        <v>1071</v>
      </c>
      <c r="AD124" s="8"/>
      <c r="AE124" s="8">
        <v>175</v>
      </c>
      <c r="AF124" s="8"/>
      <c r="AG124" s="8" t="s">
        <v>1036</v>
      </c>
      <c r="AH124" s="8" t="s">
        <v>1032</v>
      </c>
      <c r="AI124" s="11">
        <v>0.28999999999999998</v>
      </c>
      <c r="AJ124" s="11">
        <v>12.799999999999994</v>
      </c>
      <c r="AK124" s="11">
        <v>73.969499999999996</v>
      </c>
      <c r="AL124" s="11">
        <v>79.407400228896719</v>
      </c>
      <c r="AM124" s="11">
        <v>61.793199999999999</v>
      </c>
      <c r="AN124" s="8" t="s">
        <v>1032</v>
      </c>
      <c r="AO124" s="8" t="s">
        <v>1047</v>
      </c>
    </row>
    <row r="125" spans="1:41" x14ac:dyDescent="0.25">
      <c r="C125" t="s">
        <v>453</v>
      </c>
      <c r="D125" t="s">
        <v>12</v>
      </c>
      <c r="E125" t="s">
        <v>14</v>
      </c>
      <c r="F125">
        <v>2</v>
      </c>
      <c r="G125">
        <v>314</v>
      </c>
      <c r="H125">
        <v>568.20000000000005</v>
      </c>
      <c r="I125">
        <v>55.3</v>
      </c>
      <c r="L125">
        <f t="shared" si="33"/>
        <v>0</v>
      </c>
      <c r="M125">
        <f t="shared" si="28"/>
        <v>0</v>
      </c>
      <c r="N125">
        <f t="shared" si="34"/>
        <v>0</v>
      </c>
      <c r="O125">
        <f t="shared" si="35"/>
        <v>0</v>
      </c>
      <c r="P125">
        <f t="shared" si="36"/>
        <v>0</v>
      </c>
      <c r="Q125">
        <f t="shared" si="37"/>
        <v>0</v>
      </c>
      <c r="R125">
        <f t="shared" si="30"/>
        <v>0</v>
      </c>
      <c r="S125">
        <f t="shared" si="39"/>
        <v>0</v>
      </c>
      <c r="T125">
        <f t="shared" si="38"/>
        <v>0</v>
      </c>
      <c r="U125">
        <f t="shared" si="31"/>
        <v>0</v>
      </c>
      <c r="V125">
        <f t="shared" si="40"/>
        <v>0</v>
      </c>
      <c r="W125">
        <f t="shared" si="29"/>
        <v>0</v>
      </c>
      <c r="X125" t="s">
        <v>454</v>
      </c>
      <c r="Y125" t="s">
        <v>278</v>
      </c>
      <c r="Z125" s="3" t="s">
        <v>348</v>
      </c>
      <c r="AA125" t="s">
        <v>455</v>
      </c>
      <c r="AB125">
        <v>22.5</v>
      </c>
      <c r="AC125" s="8" t="s">
        <v>1071</v>
      </c>
      <c r="AD125" s="8"/>
      <c r="AE125" s="8">
        <v>175</v>
      </c>
      <c r="AF125" s="8"/>
      <c r="AG125" s="8" t="s">
        <v>1036</v>
      </c>
      <c r="AH125" s="8" t="s">
        <v>1032</v>
      </c>
      <c r="AI125" s="11">
        <v>0.28999999999999998</v>
      </c>
      <c r="AJ125" s="11">
        <v>12.799999999999994</v>
      </c>
      <c r="AK125" s="11">
        <v>73.969499999999996</v>
      </c>
      <c r="AL125" s="11">
        <v>79.407400228896719</v>
      </c>
      <c r="AM125" s="11">
        <v>61.793199999999999</v>
      </c>
      <c r="AN125" s="8" t="s">
        <v>1032</v>
      </c>
      <c r="AO125" s="8" t="s">
        <v>1047</v>
      </c>
    </row>
    <row r="126" spans="1:41" x14ac:dyDescent="0.25">
      <c r="C126" t="s">
        <v>456</v>
      </c>
      <c r="D126" t="s">
        <v>12</v>
      </c>
      <c r="E126" t="s">
        <v>14</v>
      </c>
      <c r="F126">
        <v>2</v>
      </c>
      <c r="G126">
        <v>350.5</v>
      </c>
      <c r="H126">
        <v>647.5</v>
      </c>
      <c r="I126">
        <v>54.1</v>
      </c>
      <c r="L126">
        <f t="shared" si="33"/>
        <v>0</v>
      </c>
      <c r="M126">
        <f t="shared" si="28"/>
        <v>0</v>
      </c>
      <c r="N126">
        <f t="shared" si="34"/>
        <v>0</v>
      </c>
      <c r="O126">
        <f t="shared" si="35"/>
        <v>0</v>
      </c>
      <c r="P126">
        <f t="shared" si="36"/>
        <v>0</v>
      </c>
      <c r="Q126">
        <f t="shared" si="37"/>
        <v>0</v>
      </c>
      <c r="R126">
        <f t="shared" si="30"/>
        <v>0</v>
      </c>
      <c r="S126">
        <f t="shared" si="39"/>
        <v>0</v>
      </c>
      <c r="T126">
        <f t="shared" si="38"/>
        <v>0</v>
      </c>
      <c r="U126">
        <f t="shared" si="31"/>
        <v>0</v>
      </c>
      <c r="V126">
        <f t="shared" si="40"/>
        <v>0</v>
      </c>
      <c r="W126">
        <f t="shared" si="29"/>
        <v>0</v>
      </c>
      <c r="X126" t="s">
        <v>457</v>
      </c>
      <c r="Y126" t="s">
        <v>278</v>
      </c>
      <c r="Z126" s="3" t="s">
        <v>348</v>
      </c>
      <c r="AB126">
        <v>22.5</v>
      </c>
      <c r="AC126" s="8" t="s">
        <v>1071</v>
      </c>
      <c r="AD126" s="8"/>
      <c r="AE126" s="8">
        <v>175</v>
      </c>
      <c r="AF126" s="8"/>
      <c r="AG126" s="8" t="s">
        <v>1036</v>
      </c>
      <c r="AH126" s="8" t="s">
        <v>1032</v>
      </c>
      <c r="AI126" s="11">
        <v>0.28999999999999998</v>
      </c>
      <c r="AJ126" s="11">
        <v>12.799999999999994</v>
      </c>
      <c r="AK126" s="11">
        <v>73.969499999999996</v>
      </c>
      <c r="AL126" s="11">
        <v>79.407400228896719</v>
      </c>
      <c r="AM126" s="11">
        <v>61.793199999999999</v>
      </c>
      <c r="AN126" s="8" t="s">
        <v>1032</v>
      </c>
      <c r="AO126" s="8" t="s">
        <v>1047</v>
      </c>
    </row>
    <row r="127" spans="1:41" x14ac:dyDescent="0.25">
      <c r="C127" t="s">
        <v>458</v>
      </c>
      <c r="D127" t="s">
        <v>12</v>
      </c>
      <c r="E127" t="s">
        <v>14</v>
      </c>
      <c r="F127">
        <v>4</v>
      </c>
      <c r="G127">
        <v>372.5</v>
      </c>
      <c r="H127">
        <v>691.6</v>
      </c>
      <c r="I127">
        <v>53.9</v>
      </c>
      <c r="L127">
        <f t="shared" si="33"/>
        <v>0</v>
      </c>
      <c r="M127">
        <f t="shared" si="28"/>
        <v>0</v>
      </c>
      <c r="N127">
        <f t="shared" si="34"/>
        <v>0</v>
      </c>
      <c r="O127">
        <f t="shared" si="35"/>
        <v>0</v>
      </c>
      <c r="P127">
        <f t="shared" si="36"/>
        <v>0</v>
      </c>
      <c r="Q127">
        <f t="shared" si="37"/>
        <v>0</v>
      </c>
      <c r="R127">
        <f t="shared" si="30"/>
        <v>0</v>
      </c>
      <c r="S127">
        <f t="shared" si="39"/>
        <v>0</v>
      </c>
      <c r="T127">
        <f t="shared" si="38"/>
        <v>0</v>
      </c>
      <c r="U127">
        <f t="shared" si="31"/>
        <v>0</v>
      </c>
      <c r="V127">
        <f t="shared" si="40"/>
        <v>0</v>
      </c>
      <c r="W127">
        <f t="shared" si="29"/>
        <v>0</v>
      </c>
      <c r="X127" t="s">
        <v>459</v>
      </c>
      <c r="Y127" t="s">
        <v>460</v>
      </c>
      <c r="Z127" s="3" t="s">
        <v>352</v>
      </c>
      <c r="AB127">
        <v>22.5</v>
      </c>
      <c r="AC127" s="8" t="s">
        <v>1071</v>
      </c>
      <c r="AD127" s="8"/>
      <c r="AE127" s="8">
        <v>175</v>
      </c>
      <c r="AF127" s="8"/>
      <c r="AG127" s="8" t="s">
        <v>1036</v>
      </c>
      <c r="AH127" s="8" t="s">
        <v>1032</v>
      </c>
      <c r="AI127" s="11">
        <v>0.28999999999999998</v>
      </c>
      <c r="AJ127" s="11">
        <v>12.799999999999994</v>
      </c>
      <c r="AK127" s="11">
        <v>73.969499999999996</v>
      </c>
      <c r="AL127" s="11">
        <v>79.407400228896719</v>
      </c>
      <c r="AM127" s="11">
        <v>61.793199999999999</v>
      </c>
      <c r="AN127" s="8" t="s">
        <v>1032</v>
      </c>
      <c r="AO127" s="8" t="s">
        <v>1047</v>
      </c>
    </row>
    <row r="128" spans="1:41" x14ac:dyDescent="0.25">
      <c r="C128" t="s">
        <v>461</v>
      </c>
      <c r="D128" t="s">
        <v>12</v>
      </c>
      <c r="E128" t="s">
        <v>14</v>
      </c>
      <c r="F128">
        <v>2</v>
      </c>
      <c r="G128">
        <v>322</v>
      </c>
      <c r="H128">
        <v>559.79999999999995</v>
      </c>
      <c r="I128">
        <v>57.5</v>
      </c>
      <c r="L128">
        <f t="shared" si="33"/>
        <v>0</v>
      </c>
      <c r="M128">
        <f t="shared" si="28"/>
        <v>0</v>
      </c>
      <c r="N128">
        <f t="shared" si="34"/>
        <v>0</v>
      </c>
      <c r="O128">
        <f t="shared" si="35"/>
        <v>0</v>
      </c>
      <c r="P128">
        <f t="shared" si="36"/>
        <v>0</v>
      </c>
      <c r="Q128">
        <f t="shared" si="37"/>
        <v>0</v>
      </c>
      <c r="R128">
        <f t="shared" si="30"/>
        <v>0</v>
      </c>
      <c r="S128">
        <f t="shared" si="39"/>
        <v>0</v>
      </c>
      <c r="T128">
        <f t="shared" si="38"/>
        <v>0</v>
      </c>
      <c r="U128">
        <f t="shared" si="31"/>
        <v>0</v>
      </c>
      <c r="V128">
        <f t="shared" si="40"/>
        <v>0</v>
      </c>
      <c r="W128">
        <f t="shared" si="29"/>
        <v>0</v>
      </c>
      <c r="X128" t="s">
        <v>462</v>
      </c>
      <c r="Y128" t="s">
        <v>463</v>
      </c>
      <c r="Z128" s="3" t="s">
        <v>357</v>
      </c>
      <c r="AA128" t="s">
        <v>441</v>
      </c>
      <c r="AB128">
        <v>22.5</v>
      </c>
      <c r="AC128" s="8" t="s">
        <v>1071</v>
      </c>
      <c r="AD128" s="8"/>
      <c r="AE128" s="8">
        <v>175</v>
      </c>
      <c r="AF128" s="8"/>
      <c r="AG128" s="8" t="s">
        <v>1036</v>
      </c>
      <c r="AH128" s="8" t="s">
        <v>1032</v>
      </c>
      <c r="AI128" s="11">
        <v>0.28999999999999998</v>
      </c>
      <c r="AJ128" s="11">
        <v>12.799999999999994</v>
      </c>
      <c r="AK128" s="11">
        <v>73.969499999999996</v>
      </c>
      <c r="AL128" s="11">
        <v>79.407400228896719</v>
      </c>
      <c r="AM128" s="11">
        <v>61.793199999999999</v>
      </c>
      <c r="AN128" s="8" t="s">
        <v>1032</v>
      </c>
      <c r="AO128" s="8" t="s">
        <v>1047</v>
      </c>
    </row>
    <row r="129" spans="3:41" x14ac:dyDescent="0.25">
      <c r="C129" t="s">
        <v>464</v>
      </c>
      <c r="D129" t="s">
        <v>12</v>
      </c>
      <c r="E129" t="s">
        <v>14</v>
      </c>
      <c r="F129">
        <v>2</v>
      </c>
      <c r="G129">
        <v>329.5</v>
      </c>
      <c r="H129">
        <v>621.20000000000005</v>
      </c>
      <c r="I129">
        <v>53</v>
      </c>
      <c r="L129">
        <f t="shared" si="33"/>
        <v>0</v>
      </c>
      <c r="M129">
        <f t="shared" si="28"/>
        <v>0</v>
      </c>
      <c r="N129">
        <f t="shared" si="34"/>
        <v>0</v>
      </c>
      <c r="O129">
        <f t="shared" si="35"/>
        <v>0</v>
      </c>
      <c r="P129">
        <f t="shared" si="36"/>
        <v>0</v>
      </c>
      <c r="Q129">
        <f t="shared" si="37"/>
        <v>0</v>
      </c>
      <c r="R129">
        <f t="shared" si="30"/>
        <v>0</v>
      </c>
      <c r="S129">
        <f t="shared" si="39"/>
        <v>0</v>
      </c>
      <c r="T129">
        <f t="shared" si="38"/>
        <v>0</v>
      </c>
      <c r="U129">
        <f t="shared" si="31"/>
        <v>0</v>
      </c>
      <c r="V129">
        <f t="shared" si="40"/>
        <v>0</v>
      </c>
      <c r="W129">
        <f t="shared" si="29"/>
        <v>0</v>
      </c>
      <c r="X129" t="s">
        <v>465</v>
      </c>
      <c r="Y129" t="s">
        <v>466</v>
      </c>
      <c r="Z129" s="3" t="s">
        <v>467</v>
      </c>
      <c r="AA129" t="s">
        <v>438</v>
      </c>
      <c r="AB129">
        <v>22.5</v>
      </c>
      <c r="AC129" s="8" t="s">
        <v>1071</v>
      </c>
      <c r="AD129" s="8"/>
      <c r="AE129" s="8">
        <v>175</v>
      </c>
      <c r="AF129" s="8"/>
      <c r="AG129" s="8" t="s">
        <v>1036</v>
      </c>
      <c r="AH129" s="8" t="s">
        <v>1032</v>
      </c>
      <c r="AI129" s="11">
        <v>0.28999999999999998</v>
      </c>
      <c r="AJ129" s="11">
        <v>12.799999999999994</v>
      </c>
      <c r="AK129" s="11">
        <v>73.969499999999996</v>
      </c>
      <c r="AL129" s="11">
        <v>79.407400228896719</v>
      </c>
      <c r="AM129" s="11">
        <v>61.793199999999999</v>
      </c>
      <c r="AN129" s="8" t="s">
        <v>1032</v>
      </c>
      <c r="AO129" s="8" t="s">
        <v>1047</v>
      </c>
    </row>
    <row r="130" spans="3:41" x14ac:dyDescent="0.25">
      <c r="C130" t="s">
        <v>468</v>
      </c>
      <c r="D130" t="s">
        <v>12</v>
      </c>
      <c r="E130" t="s">
        <v>14</v>
      </c>
      <c r="F130">
        <v>2</v>
      </c>
      <c r="G130">
        <v>356.5</v>
      </c>
      <c r="H130">
        <v>669.9</v>
      </c>
      <c r="I130">
        <v>53.2</v>
      </c>
      <c r="L130">
        <f t="shared" si="33"/>
        <v>0</v>
      </c>
      <c r="M130">
        <f t="shared" si="28"/>
        <v>0</v>
      </c>
      <c r="N130">
        <f t="shared" si="34"/>
        <v>0</v>
      </c>
      <c r="O130">
        <f t="shared" si="35"/>
        <v>0</v>
      </c>
      <c r="P130">
        <f t="shared" si="36"/>
        <v>0</v>
      </c>
      <c r="Q130">
        <f t="shared" si="37"/>
        <v>0</v>
      </c>
      <c r="R130">
        <f t="shared" si="30"/>
        <v>0</v>
      </c>
      <c r="S130">
        <f t="shared" si="39"/>
        <v>0</v>
      </c>
      <c r="T130">
        <f t="shared" si="38"/>
        <v>0</v>
      </c>
      <c r="U130">
        <f t="shared" si="31"/>
        <v>0</v>
      </c>
      <c r="V130">
        <f t="shared" si="40"/>
        <v>0</v>
      </c>
      <c r="W130">
        <f t="shared" si="29"/>
        <v>0</v>
      </c>
      <c r="X130" t="s">
        <v>469</v>
      </c>
      <c r="Y130" t="s">
        <v>470</v>
      </c>
      <c r="Z130" s="3" t="s">
        <v>364</v>
      </c>
      <c r="AA130" t="s">
        <v>435</v>
      </c>
      <c r="AB130">
        <v>22.5</v>
      </c>
      <c r="AC130" s="8" t="s">
        <v>1071</v>
      </c>
      <c r="AD130" s="8"/>
      <c r="AE130" s="8">
        <v>175</v>
      </c>
      <c r="AF130" s="8"/>
      <c r="AG130" s="8" t="s">
        <v>1036</v>
      </c>
      <c r="AH130" s="8" t="s">
        <v>1032</v>
      </c>
      <c r="AI130" s="11">
        <v>0.28999999999999998</v>
      </c>
      <c r="AJ130" s="11">
        <v>12.799999999999994</v>
      </c>
      <c r="AK130" s="11">
        <v>73.969499999999996</v>
      </c>
      <c r="AL130" s="11">
        <v>79.407400228896719</v>
      </c>
      <c r="AM130" s="11">
        <v>61.793199999999999</v>
      </c>
      <c r="AN130" s="8" t="s">
        <v>1032</v>
      </c>
      <c r="AO130" s="8" t="s">
        <v>1047</v>
      </c>
    </row>
    <row r="131" spans="3:41" x14ac:dyDescent="0.25">
      <c r="C131" t="s">
        <v>471</v>
      </c>
      <c r="D131" t="s">
        <v>12</v>
      </c>
      <c r="E131" t="s">
        <v>14</v>
      </c>
      <c r="F131">
        <v>4</v>
      </c>
      <c r="G131">
        <v>358</v>
      </c>
      <c r="H131">
        <v>656.8</v>
      </c>
      <c r="I131">
        <v>54.5</v>
      </c>
      <c r="L131">
        <f t="shared" si="33"/>
        <v>0</v>
      </c>
      <c r="M131">
        <f t="shared" si="28"/>
        <v>0</v>
      </c>
      <c r="N131">
        <f t="shared" si="34"/>
        <v>0</v>
      </c>
      <c r="O131">
        <f t="shared" si="35"/>
        <v>0</v>
      </c>
      <c r="P131">
        <f t="shared" si="36"/>
        <v>0</v>
      </c>
      <c r="Q131">
        <f t="shared" si="37"/>
        <v>0</v>
      </c>
      <c r="R131">
        <f t="shared" si="30"/>
        <v>0</v>
      </c>
      <c r="S131">
        <f t="shared" si="39"/>
        <v>0</v>
      </c>
      <c r="T131">
        <f t="shared" si="38"/>
        <v>0</v>
      </c>
      <c r="U131">
        <f t="shared" si="31"/>
        <v>0</v>
      </c>
      <c r="V131">
        <f t="shared" si="40"/>
        <v>0</v>
      </c>
      <c r="W131">
        <f t="shared" si="29"/>
        <v>0</v>
      </c>
      <c r="X131" t="s">
        <v>472</v>
      </c>
      <c r="Y131" t="s">
        <v>473</v>
      </c>
      <c r="Z131" s="3" t="s">
        <v>370</v>
      </c>
      <c r="AB131">
        <v>22.5</v>
      </c>
      <c r="AC131" s="8" t="s">
        <v>1071</v>
      </c>
      <c r="AD131" s="8"/>
      <c r="AE131" s="8">
        <v>175</v>
      </c>
      <c r="AF131" s="8"/>
      <c r="AG131" s="8" t="s">
        <v>1036</v>
      </c>
      <c r="AH131" s="8" t="s">
        <v>1032</v>
      </c>
      <c r="AI131" s="11">
        <v>0.28999999999999998</v>
      </c>
      <c r="AJ131" s="11">
        <v>12.799999999999994</v>
      </c>
      <c r="AK131" s="11">
        <v>73.969499999999996</v>
      </c>
      <c r="AL131" s="11">
        <v>79.407400228896719</v>
      </c>
      <c r="AM131" s="11">
        <v>61.793199999999999</v>
      </c>
      <c r="AN131" s="8" t="s">
        <v>1032</v>
      </c>
      <c r="AO131" s="8" t="s">
        <v>1047</v>
      </c>
    </row>
    <row r="132" spans="3:41" x14ac:dyDescent="0.25">
      <c r="C132" t="s">
        <v>474</v>
      </c>
      <c r="D132" t="s">
        <v>12</v>
      </c>
      <c r="E132" t="s">
        <v>14</v>
      </c>
      <c r="F132">
        <v>2</v>
      </c>
      <c r="G132">
        <v>308</v>
      </c>
      <c r="H132">
        <v>607.5</v>
      </c>
      <c r="I132">
        <v>50.7</v>
      </c>
      <c r="L132">
        <f t="shared" si="33"/>
        <v>0</v>
      </c>
      <c r="M132">
        <f t="shared" si="28"/>
        <v>0</v>
      </c>
      <c r="N132">
        <f t="shared" si="34"/>
        <v>0</v>
      </c>
      <c r="O132">
        <f t="shared" si="35"/>
        <v>0</v>
      </c>
      <c r="P132">
        <f t="shared" si="36"/>
        <v>0</v>
      </c>
      <c r="Q132">
        <f t="shared" si="37"/>
        <v>0</v>
      </c>
      <c r="R132">
        <f t="shared" si="30"/>
        <v>0</v>
      </c>
      <c r="S132">
        <f t="shared" si="39"/>
        <v>0</v>
      </c>
      <c r="T132">
        <f t="shared" si="38"/>
        <v>0</v>
      </c>
      <c r="U132">
        <f t="shared" si="31"/>
        <v>0</v>
      </c>
      <c r="V132">
        <f t="shared" si="40"/>
        <v>0</v>
      </c>
      <c r="W132">
        <f t="shared" si="29"/>
        <v>0</v>
      </c>
      <c r="X132" t="s">
        <v>475</v>
      </c>
      <c r="Y132" t="s">
        <v>476</v>
      </c>
      <c r="Z132" s="3" t="s">
        <v>374</v>
      </c>
      <c r="AB132">
        <v>22.5</v>
      </c>
      <c r="AC132" s="8" t="s">
        <v>1071</v>
      </c>
      <c r="AD132" s="8"/>
      <c r="AE132" s="8">
        <v>175</v>
      </c>
      <c r="AF132" s="8"/>
      <c r="AG132" s="8" t="s">
        <v>1036</v>
      </c>
      <c r="AH132" s="8" t="s">
        <v>1032</v>
      </c>
      <c r="AI132" s="11">
        <v>0.28999999999999998</v>
      </c>
      <c r="AJ132" s="11">
        <v>12.799999999999994</v>
      </c>
      <c r="AK132" s="11">
        <v>73.969499999999996</v>
      </c>
      <c r="AL132" s="11">
        <v>79.407400228896719</v>
      </c>
      <c r="AM132" s="11">
        <v>61.793199999999999</v>
      </c>
      <c r="AN132" s="8" t="s">
        <v>1032</v>
      </c>
      <c r="AO132" s="8" t="s">
        <v>1047</v>
      </c>
    </row>
    <row r="133" spans="3:41" x14ac:dyDescent="0.25">
      <c r="C133" t="s">
        <v>477</v>
      </c>
      <c r="D133" t="s">
        <v>12</v>
      </c>
      <c r="E133" t="s">
        <v>14</v>
      </c>
      <c r="F133">
        <v>2</v>
      </c>
      <c r="G133">
        <v>303.5</v>
      </c>
      <c r="H133">
        <v>562.79999999999995</v>
      </c>
      <c r="I133">
        <v>53.9</v>
      </c>
      <c r="L133">
        <f t="shared" si="33"/>
        <v>0</v>
      </c>
      <c r="M133">
        <f t="shared" si="28"/>
        <v>0</v>
      </c>
      <c r="N133">
        <f t="shared" si="34"/>
        <v>0</v>
      </c>
      <c r="O133">
        <f t="shared" si="35"/>
        <v>0</v>
      </c>
      <c r="P133">
        <f t="shared" si="36"/>
        <v>0</v>
      </c>
      <c r="Q133">
        <f t="shared" si="37"/>
        <v>0</v>
      </c>
      <c r="R133">
        <f t="shared" si="30"/>
        <v>0</v>
      </c>
      <c r="S133">
        <f t="shared" si="39"/>
        <v>0</v>
      </c>
      <c r="T133">
        <f t="shared" si="38"/>
        <v>0</v>
      </c>
      <c r="U133">
        <f t="shared" si="31"/>
        <v>0</v>
      </c>
      <c r="V133">
        <f t="shared" si="40"/>
        <v>0</v>
      </c>
      <c r="W133">
        <f t="shared" si="29"/>
        <v>0</v>
      </c>
      <c r="X133" t="s">
        <v>478</v>
      </c>
      <c r="Y133" t="s">
        <v>479</v>
      </c>
      <c r="Z133" s="3" t="s">
        <v>374</v>
      </c>
      <c r="AA133" t="s">
        <v>438</v>
      </c>
      <c r="AB133">
        <v>22.5</v>
      </c>
      <c r="AC133" s="8" t="s">
        <v>1071</v>
      </c>
      <c r="AD133" s="8"/>
      <c r="AE133" s="8">
        <v>175</v>
      </c>
      <c r="AF133" s="8"/>
      <c r="AG133" s="8" t="s">
        <v>1036</v>
      </c>
      <c r="AH133" s="8" t="s">
        <v>1032</v>
      </c>
      <c r="AI133" s="11">
        <v>0.28999999999999998</v>
      </c>
      <c r="AJ133" s="11">
        <v>12.799999999999994</v>
      </c>
      <c r="AK133" s="11">
        <v>73.969499999999996</v>
      </c>
      <c r="AL133" s="11">
        <v>79.407400228896719</v>
      </c>
      <c r="AM133" s="11">
        <v>61.793199999999999</v>
      </c>
      <c r="AN133" s="8" t="s">
        <v>1032</v>
      </c>
      <c r="AO133" s="8" t="s">
        <v>1047</v>
      </c>
    </row>
    <row r="134" spans="3:41" x14ac:dyDescent="0.25">
      <c r="C134" t="s">
        <v>480</v>
      </c>
      <c r="D134" t="s">
        <v>12</v>
      </c>
      <c r="E134" t="s">
        <v>14</v>
      </c>
      <c r="F134">
        <v>2</v>
      </c>
      <c r="G134">
        <v>341.5</v>
      </c>
      <c r="H134">
        <v>624.20000000000005</v>
      </c>
      <c r="I134">
        <v>54.7</v>
      </c>
      <c r="L134">
        <f t="shared" si="33"/>
        <v>0</v>
      </c>
      <c r="M134">
        <f t="shared" si="28"/>
        <v>0</v>
      </c>
      <c r="N134">
        <f t="shared" si="34"/>
        <v>0</v>
      </c>
      <c r="O134">
        <f t="shared" si="35"/>
        <v>0</v>
      </c>
      <c r="P134">
        <f t="shared" si="36"/>
        <v>0</v>
      </c>
      <c r="Q134">
        <f t="shared" si="37"/>
        <v>0</v>
      </c>
      <c r="R134">
        <f t="shared" si="30"/>
        <v>0</v>
      </c>
      <c r="S134">
        <f t="shared" si="39"/>
        <v>0</v>
      </c>
      <c r="T134">
        <f t="shared" si="38"/>
        <v>0</v>
      </c>
      <c r="U134">
        <f t="shared" si="31"/>
        <v>0</v>
      </c>
      <c r="V134">
        <f t="shared" si="40"/>
        <v>0</v>
      </c>
      <c r="W134">
        <f t="shared" si="29"/>
        <v>0</v>
      </c>
      <c r="X134" t="s">
        <v>481</v>
      </c>
      <c r="Y134" t="s">
        <v>482</v>
      </c>
      <c r="Z134" s="3" t="s">
        <v>84</v>
      </c>
      <c r="AB134">
        <v>22.5</v>
      </c>
      <c r="AC134" s="8" t="s">
        <v>1071</v>
      </c>
      <c r="AD134" s="8"/>
      <c r="AE134" s="8">
        <v>175</v>
      </c>
      <c r="AF134" s="8"/>
      <c r="AG134" s="8" t="s">
        <v>1036</v>
      </c>
      <c r="AH134" s="8" t="s">
        <v>1032</v>
      </c>
      <c r="AI134" s="11">
        <v>0.28999999999999998</v>
      </c>
      <c r="AJ134" s="11">
        <v>12.799999999999994</v>
      </c>
      <c r="AK134" s="11">
        <v>73.969499999999996</v>
      </c>
      <c r="AL134" s="11">
        <v>79.407400228896719</v>
      </c>
      <c r="AM134" s="11">
        <v>61.793199999999999</v>
      </c>
      <c r="AN134" s="8" t="s">
        <v>1032</v>
      </c>
      <c r="AO134" s="8" t="s">
        <v>1047</v>
      </c>
    </row>
    <row r="135" spans="3:41" x14ac:dyDescent="0.25">
      <c r="C135" t="s">
        <v>483</v>
      </c>
      <c r="D135" t="s">
        <v>12</v>
      </c>
      <c r="E135" t="s">
        <v>14</v>
      </c>
      <c r="F135">
        <v>2</v>
      </c>
      <c r="G135">
        <v>325.5</v>
      </c>
      <c r="H135">
        <v>637.79999999999995</v>
      </c>
      <c r="I135">
        <v>51</v>
      </c>
      <c r="L135">
        <f t="shared" si="33"/>
        <v>0</v>
      </c>
      <c r="M135">
        <f t="shared" si="28"/>
        <v>0</v>
      </c>
      <c r="N135">
        <f t="shared" si="34"/>
        <v>0</v>
      </c>
      <c r="O135">
        <f t="shared" si="35"/>
        <v>0</v>
      </c>
      <c r="P135">
        <f t="shared" si="36"/>
        <v>0</v>
      </c>
      <c r="Q135">
        <f t="shared" si="37"/>
        <v>0</v>
      </c>
      <c r="R135">
        <f t="shared" si="30"/>
        <v>0</v>
      </c>
      <c r="S135">
        <f t="shared" si="39"/>
        <v>0</v>
      </c>
      <c r="T135">
        <f t="shared" si="38"/>
        <v>0</v>
      </c>
      <c r="U135">
        <f t="shared" si="31"/>
        <v>0</v>
      </c>
      <c r="V135">
        <f t="shared" si="40"/>
        <v>0</v>
      </c>
      <c r="W135">
        <f t="shared" si="29"/>
        <v>0</v>
      </c>
      <c r="X135" t="s">
        <v>481</v>
      </c>
      <c r="Y135" t="s">
        <v>484</v>
      </c>
      <c r="Z135" s="3" t="s">
        <v>101</v>
      </c>
      <c r="AB135">
        <v>22.5</v>
      </c>
      <c r="AC135" s="8" t="s">
        <v>1071</v>
      </c>
      <c r="AD135" s="8"/>
      <c r="AE135" s="8">
        <v>175</v>
      </c>
      <c r="AF135" s="8"/>
      <c r="AG135" s="8" t="s">
        <v>1036</v>
      </c>
      <c r="AH135" s="8" t="s">
        <v>1032</v>
      </c>
      <c r="AI135" s="11">
        <v>0.28999999999999998</v>
      </c>
      <c r="AJ135" s="11">
        <v>12.799999999999994</v>
      </c>
      <c r="AK135" s="11">
        <v>73.969499999999996</v>
      </c>
      <c r="AL135" s="11">
        <v>79.407400228896719</v>
      </c>
      <c r="AM135" s="11">
        <v>61.793199999999999</v>
      </c>
      <c r="AN135" s="8" t="s">
        <v>1032</v>
      </c>
      <c r="AO135" s="8" t="s">
        <v>1047</v>
      </c>
    </row>
    <row r="136" spans="3:41" x14ac:dyDescent="0.25">
      <c r="C136" t="s">
        <v>54</v>
      </c>
      <c r="D136" t="s">
        <v>12</v>
      </c>
      <c r="E136" t="s">
        <v>14</v>
      </c>
      <c r="F136">
        <v>2</v>
      </c>
      <c r="G136">
        <v>308.5</v>
      </c>
      <c r="H136" s="21">
        <v>1185.3</v>
      </c>
      <c r="I136">
        <v>26</v>
      </c>
      <c r="L136">
        <f t="shared" si="33"/>
        <v>0</v>
      </c>
      <c r="M136">
        <f t="shared" si="28"/>
        <v>0</v>
      </c>
      <c r="N136">
        <f t="shared" si="34"/>
        <v>0</v>
      </c>
      <c r="O136">
        <f t="shared" si="35"/>
        <v>0</v>
      </c>
      <c r="P136">
        <f t="shared" si="36"/>
        <v>0</v>
      </c>
      <c r="Q136">
        <f t="shared" si="37"/>
        <v>0</v>
      </c>
      <c r="R136">
        <f t="shared" si="30"/>
        <v>0</v>
      </c>
      <c r="S136">
        <f t="shared" si="39"/>
        <v>0</v>
      </c>
      <c r="T136">
        <f t="shared" si="38"/>
        <v>0</v>
      </c>
      <c r="U136">
        <f t="shared" si="31"/>
        <v>0</v>
      </c>
      <c r="V136">
        <f t="shared" si="40"/>
        <v>0</v>
      </c>
      <c r="W136">
        <f t="shared" si="29"/>
        <v>0</v>
      </c>
      <c r="X136" t="s">
        <v>485</v>
      </c>
      <c r="Y136" t="s">
        <v>56</v>
      </c>
      <c r="Z136" s="3" t="s">
        <v>378</v>
      </c>
      <c r="AA136" t="s">
        <v>435</v>
      </c>
      <c r="AB136">
        <v>22.5</v>
      </c>
      <c r="AC136" s="8" t="s">
        <v>1071</v>
      </c>
      <c r="AD136" s="8"/>
      <c r="AE136" s="8">
        <v>175</v>
      </c>
      <c r="AF136" s="8"/>
      <c r="AG136" s="8" t="s">
        <v>1036</v>
      </c>
      <c r="AH136" s="8" t="s">
        <v>1032</v>
      </c>
      <c r="AI136" s="11">
        <v>0.28999999999999998</v>
      </c>
      <c r="AJ136" s="11">
        <v>12.799999999999994</v>
      </c>
      <c r="AK136" s="11">
        <v>73.969499999999996</v>
      </c>
      <c r="AL136" s="11">
        <v>79.407400228896719</v>
      </c>
      <c r="AM136" s="11">
        <v>61.793199999999999</v>
      </c>
      <c r="AN136" s="8" t="s">
        <v>1032</v>
      </c>
      <c r="AO136" s="8" t="s">
        <v>1047</v>
      </c>
    </row>
    <row r="137" spans="3:41" x14ac:dyDescent="0.25">
      <c r="C137" t="s">
        <v>59</v>
      </c>
      <c r="D137" t="s">
        <v>12</v>
      </c>
      <c r="E137" t="s">
        <v>14</v>
      </c>
      <c r="F137">
        <v>4</v>
      </c>
      <c r="G137">
        <v>299</v>
      </c>
      <c r="H137">
        <v>625.20000000000005</v>
      </c>
      <c r="I137">
        <v>47.8</v>
      </c>
      <c r="K137" t="s">
        <v>486</v>
      </c>
      <c r="L137">
        <f t="shared" si="33"/>
        <v>1</v>
      </c>
      <c r="M137">
        <f t="shared" si="28"/>
        <v>0</v>
      </c>
      <c r="N137">
        <f t="shared" si="34"/>
        <v>0</v>
      </c>
      <c r="O137">
        <f t="shared" si="35"/>
        <v>0</v>
      </c>
      <c r="P137">
        <f t="shared" si="36"/>
        <v>0</v>
      </c>
      <c r="Q137">
        <f t="shared" si="37"/>
        <v>0</v>
      </c>
      <c r="R137">
        <f t="shared" si="30"/>
        <v>0</v>
      </c>
      <c r="S137">
        <f t="shared" si="39"/>
        <v>0</v>
      </c>
      <c r="T137">
        <f t="shared" si="38"/>
        <v>0</v>
      </c>
      <c r="U137">
        <f>IF(K137="Pyogenic Lesions", 1, 0)</f>
        <v>1</v>
      </c>
      <c r="V137">
        <f t="shared" si="40"/>
        <v>0</v>
      </c>
      <c r="W137">
        <f t="shared" si="29"/>
        <v>0</v>
      </c>
      <c r="X137" t="s">
        <v>487</v>
      </c>
      <c r="Y137" t="s">
        <v>488</v>
      </c>
      <c r="Z137" s="3" t="s">
        <v>89</v>
      </c>
      <c r="AA137" t="s">
        <v>452</v>
      </c>
      <c r="AB137">
        <v>22.5</v>
      </c>
      <c r="AC137" s="8" t="s">
        <v>1071</v>
      </c>
      <c r="AD137" s="8"/>
      <c r="AE137" s="8">
        <v>175</v>
      </c>
      <c r="AF137" s="8"/>
      <c r="AG137" s="8" t="s">
        <v>1036</v>
      </c>
      <c r="AH137" s="8" t="s">
        <v>1032</v>
      </c>
      <c r="AI137" s="11">
        <v>0.28999999999999998</v>
      </c>
      <c r="AJ137" s="11">
        <v>12.799999999999994</v>
      </c>
      <c r="AK137" s="11">
        <v>73.969499999999996</v>
      </c>
      <c r="AL137" s="11">
        <v>79.407400228896719</v>
      </c>
      <c r="AM137" s="11">
        <v>61.793199999999999</v>
      </c>
      <c r="AN137" s="8" t="s">
        <v>1032</v>
      </c>
      <c r="AO137" s="8" t="s">
        <v>1047</v>
      </c>
    </row>
    <row r="138" spans="3:41" x14ac:dyDescent="0.25">
      <c r="C138" t="s">
        <v>62</v>
      </c>
      <c r="D138" t="s">
        <v>12</v>
      </c>
      <c r="E138" t="s">
        <v>489</v>
      </c>
      <c r="F138">
        <v>4</v>
      </c>
      <c r="G138">
        <v>393</v>
      </c>
      <c r="H138">
        <v>689.3</v>
      </c>
      <c r="I138">
        <v>57</v>
      </c>
      <c r="L138">
        <f t="shared" si="33"/>
        <v>0</v>
      </c>
      <c r="M138">
        <f t="shared" si="28"/>
        <v>0</v>
      </c>
      <c r="N138">
        <f t="shared" si="34"/>
        <v>0</v>
      </c>
      <c r="O138">
        <f t="shared" si="35"/>
        <v>0</v>
      </c>
      <c r="P138">
        <f t="shared" si="36"/>
        <v>0</v>
      </c>
      <c r="Q138">
        <f t="shared" si="37"/>
        <v>0</v>
      </c>
      <c r="R138">
        <f t="shared" si="30"/>
        <v>0</v>
      </c>
      <c r="S138">
        <f t="shared" si="39"/>
        <v>0</v>
      </c>
      <c r="T138">
        <f t="shared" si="38"/>
        <v>0</v>
      </c>
      <c r="U138">
        <f t="shared" ref="U138:U201" si="41">IF(K138="Pyogenic Lesions", 1, 0)</f>
        <v>0</v>
      </c>
      <c r="V138">
        <f t="shared" si="40"/>
        <v>0</v>
      </c>
      <c r="W138">
        <f t="shared" si="29"/>
        <v>0</v>
      </c>
      <c r="X138" t="s">
        <v>490</v>
      </c>
      <c r="Y138" t="s">
        <v>61</v>
      </c>
      <c r="Z138" s="3" t="s">
        <v>57</v>
      </c>
      <c r="AB138">
        <v>22.5</v>
      </c>
      <c r="AC138" s="8" t="s">
        <v>1071</v>
      </c>
      <c r="AD138" s="8"/>
      <c r="AE138" s="8">
        <v>175</v>
      </c>
      <c r="AF138" s="8"/>
      <c r="AG138" s="8" t="s">
        <v>1036</v>
      </c>
      <c r="AH138" s="8" t="s">
        <v>1032</v>
      </c>
      <c r="AI138" s="11">
        <v>0.28999999999999998</v>
      </c>
      <c r="AJ138" s="11">
        <v>12.799999999999994</v>
      </c>
      <c r="AK138" s="11">
        <v>73.969499999999996</v>
      </c>
      <c r="AL138" s="11">
        <v>79.407400228896719</v>
      </c>
      <c r="AM138" s="11">
        <v>61.793199999999999</v>
      </c>
      <c r="AN138" s="8" t="s">
        <v>1032</v>
      </c>
      <c r="AO138" s="8" t="s">
        <v>1047</v>
      </c>
    </row>
    <row r="139" spans="3:41" x14ac:dyDescent="0.25">
      <c r="C139" t="s">
        <v>67</v>
      </c>
      <c r="D139" t="s">
        <v>12</v>
      </c>
      <c r="E139" t="s">
        <v>14</v>
      </c>
      <c r="F139">
        <v>4</v>
      </c>
      <c r="G139">
        <v>367</v>
      </c>
      <c r="H139">
        <v>689.4</v>
      </c>
      <c r="I139">
        <v>53.2</v>
      </c>
      <c r="L139">
        <f t="shared" si="33"/>
        <v>0</v>
      </c>
      <c r="M139">
        <f t="shared" si="28"/>
        <v>0</v>
      </c>
      <c r="N139">
        <f t="shared" si="34"/>
        <v>0</v>
      </c>
      <c r="O139">
        <f t="shared" si="35"/>
        <v>0</v>
      </c>
      <c r="P139">
        <f t="shared" si="36"/>
        <v>0</v>
      </c>
      <c r="Q139">
        <f t="shared" si="37"/>
        <v>0</v>
      </c>
      <c r="R139">
        <f t="shared" si="30"/>
        <v>0</v>
      </c>
      <c r="S139">
        <f t="shared" si="39"/>
        <v>0</v>
      </c>
      <c r="T139">
        <f t="shared" si="38"/>
        <v>0</v>
      </c>
      <c r="U139">
        <f t="shared" si="41"/>
        <v>0</v>
      </c>
      <c r="V139">
        <f t="shared" si="40"/>
        <v>0</v>
      </c>
      <c r="W139">
        <f t="shared" si="29"/>
        <v>0</v>
      </c>
      <c r="X139" t="s">
        <v>491</v>
      </c>
      <c r="Y139" t="s">
        <v>492</v>
      </c>
      <c r="Z139" s="3" t="s">
        <v>65</v>
      </c>
      <c r="AB139">
        <v>22.5</v>
      </c>
      <c r="AC139" s="8" t="s">
        <v>1071</v>
      </c>
      <c r="AD139" s="8"/>
      <c r="AE139" s="8">
        <v>175</v>
      </c>
      <c r="AF139" s="8"/>
      <c r="AG139" s="8" t="s">
        <v>1036</v>
      </c>
      <c r="AH139" s="8" t="s">
        <v>1032</v>
      </c>
      <c r="AI139" s="11">
        <v>0.28999999999999998</v>
      </c>
      <c r="AJ139" s="11">
        <v>12.799999999999994</v>
      </c>
      <c r="AK139" s="11">
        <v>73.969499999999996</v>
      </c>
      <c r="AL139" s="11">
        <v>79.407400228896719</v>
      </c>
      <c r="AM139" s="11">
        <v>61.793199999999999</v>
      </c>
      <c r="AN139" s="8" t="s">
        <v>1032</v>
      </c>
      <c r="AO139" s="8" t="s">
        <v>1047</v>
      </c>
    </row>
    <row r="140" spans="3:41" x14ac:dyDescent="0.25">
      <c r="C140" t="s">
        <v>72</v>
      </c>
      <c r="D140" t="s">
        <v>12</v>
      </c>
      <c r="E140" t="s">
        <v>14</v>
      </c>
      <c r="F140">
        <v>2</v>
      </c>
      <c r="G140">
        <v>336</v>
      </c>
      <c r="H140">
        <v>619.5</v>
      </c>
      <c r="I140">
        <v>54.2</v>
      </c>
      <c r="L140">
        <f t="shared" si="33"/>
        <v>0</v>
      </c>
      <c r="M140">
        <f t="shared" si="28"/>
        <v>0</v>
      </c>
      <c r="N140">
        <f t="shared" si="34"/>
        <v>0</v>
      </c>
      <c r="O140">
        <f t="shared" si="35"/>
        <v>0</v>
      </c>
      <c r="P140">
        <f t="shared" si="36"/>
        <v>0</v>
      </c>
      <c r="Q140">
        <f t="shared" si="37"/>
        <v>0</v>
      </c>
      <c r="R140">
        <f t="shared" si="30"/>
        <v>0</v>
      </c>
      <c r="S140">
        <f t="shared" si="39"/>
        <v>0</v>
      </c>
      <c r="T140">
        <f t="shared" si="38"/>
        <v>0</v>
      </c>
      <c r="U140">
        <f t="shared" si="41"/>
        <v>0</v>
      </c>
      <c r="V140">
        <f t="shared" si="40"/>
        <v>0</v>
      </c>
      <c r="W140">
        <f t="shared" si="29"/>
        <v>0</v>
      </c>
      <c r="X140" t="s">
        <v>493</v>
      </c>
      <c r="Y140" t="s">
        <v>494</v>
      </c>
      <c r="Z140" s="3" t="s">
        <v>70</v>
      </c>
      <c r="AB140">
        <v>22.5</v>
      </c>
      <c r="AC140" s="8" t="s">
        <v>1071</v>
      </c>
      <c r="AD140" s="8"/>
      <c r="AE140" s="8">
        <v>175</v>
      </c>
      <c r="AF140" s="8"/>
      <c r="AG140" s="8" t="s">
        <v>1036</v>
      </c>
      <c r="AH140" s="8" t="s">
        <v>1032</v>
      </c>
      <c r="AI140" s="11">
        <v>0.28999999999999998</v>
      </c>
      <c r="AJ140" s="11">
        <v>12.799999999999994</v>
      </c>
      <c r="AK140" s="11">
        <v>73.969499999999996</v>
      </c>
      <c r="AL140" s="11">
        <v>79.407400228896719</v>
      </c>
      <c r="AM140" s="11">
        <v>61.793199999999999</v>
      </c>
      <c r="AN140" s="8" t="s">
        <v>1032</v>
      </c>
      <c r="AO140" s="8" t="s">
        <v>1047</v>
      </c>
    </row>
    <row r="141" spans="3:41" x14ac:dyDescent="0.25">
      <c r="C141" t="s">
        <v>77</v>
      </c>
      <c r="D141" t="s">
        <v>12</v>
      </c>
      <c r="E141" t="s">
        <v>14</v>
      </c>
      <c r="F141">
        <v>2</v>
      </c>
      <c r="G141">
        <v>305.5</v>
      </c>
      <c r="H141">
        <v>567.29999999999995</v>
      </c>
      <c r="I141">
        <v>53.9</v>
      </c>
      <c r="L141">
        <f t="shared" si="33"/>
        <v>0</v>
      </c>
      <c r="M141">
        <f t="shared" si="28"/>
        <v>0</v>
      </c>
      <c r="N141">
        <f t="shared" si="34"/>
        <v>0</v>
      </c>
      <c r="O141">
        <f t="shared" si="35"/>
        <v>0</v>
      </c>
      <c r="P141">
        <f t="shared" si="36"/>
        <v>0</v>
      </c>
      <c r="Q141">
        <f t="shared" si="37"/>
        <v>0</v>
      </c>
      <c r="R141">
        <f t="shared" si="30"/>
        <v>0</v>
      </c>
      <c r="S141">
        <f t="shared" si="39"/>
        <v>0</v>
      </c>
      <c r="T141">
        <f t="shared" si="38"/>
        <v>0</v>
      </c>
      <c r="U141">
        <f t="shared" si="41"/>
        <v>0</v>
      </c>
      <c r="V141">
        <f t="shared" si="40"/>
        <v>0</v>
      </c>
      <c r="W141">
        <f t="shared" si="29"/>
        <v>0</v>
      </c>
      <c r="X141" t="s">
        <v>495</v>
      </c>
      <c r="Y141" t="s">
        <v>69</v>
      </c>
      <c r="Z141" s="3" t="s">
        <v>75</v>
      </c>
      <c r="AA141" t="s">
        <v>496</v>
      </c>
      <c r="AB141">
        <v>22.5</v>
      </c>
      <c r="AC141" s="8" t="s">
        <v>1071</v>
      </c>
      <c r="AD141" s="8"/>
      <c r="AE141" s="8">
        <v>175</v>
      </c>
      <c r="AF141" s="8"/>
      <c r="AG141" s="8" t="s">
        <v>1036</v>
      </c>
      <c r="AH141" s="8" t="s">
        <v>1032</v>
      </c>
      <c r="AI141" s="11">
        <v>0.28999999999999998</v>
      </c>
      <c r="AJ141" s="11">
        <v>12.799999999999994</v>
      </c>
      <c r="AK141" s="11">
        <v>73.969499999999996</v>
      </c>
      <c r="AL141" s="11">
        <v>79.407400228896719</v>
      </c>
      <c r="AM141" s="11">
        <v>61.793199999999999</v>
      </c>
      <c r="AN141" s="8" t="s">
        <v>1032</v>
      </c>
      <c r="AO141" s="8" t="s">
        <v>1047</v>
      </c>
    </row>
    <row r="142" spans="3:41" x14ac:dyDescent="0.25">
      <c r="C142" t="s">
        <v>81</v>
      </c>
      <c r="D142" t="s">
        <v>12</v>
      </c>
      <c r="E142" t="s">
        <v>14</v>
      </c>
      <c r="F142">
        <v>4</v>
      </c>
      <c r="G142">
        <v>350.5</v>
      </c>
      <c r="H142">
        <v>663.9</v>
      </c>
      <c r="I142">
        <v>52.8</v>
      </c>
      <c r="K142" t="s">
        <v>180</v>
      </c>
      <c r="L142">
        <f t="shared" si="33"/>
        <v>1</v>
      </c>
      <c r="M142">
        <f t="shared" ref="M142:M192" si="42">IF(K142="Arthritis", 1, 0)</f>
        <v>0</v>
      </c>
      <c r="N142">
        <f t="shared" si="34"/>
        <v>0</v>
      </c>
      <c r="O142">
        <f t="shared" si="35"/>
        <v>0</v>
      </c>
      <c r="P142">
        <f t="shared" si="36"/>
        <v>0</v>
      </c>
      <c r="Q142">
        <f t="shared" si="37"/>
        <v>0</v>
      </c>
      <c r="R142">
        <f t="shared" si="30"/>
        <v>0</v>
      </c>
      <c r="S142">
        <f t="shared" si="39"/>
        <v>0</v>
      </c>
      <c r="T142">
        <f t="shared" si="38"/>
        <v>0</v>
      </c>
      <c r="U142">
        <f t="shared" si="41"/>
        <v>0</v>
      </c>
      <c r="V142">
        <f t="shared" si="40"/>
        <v>0</v>
      </c>
      <c r="W142">
        <f t="shared" ref="W142:W205" si="43">IF(K142="Other", 1, 0)</f>
        <v>1</v>
      </c>
      <c r="X142" t="s">
        <v>497</v>
      </c>
      <c r="Y142" t="s">
        <v>74</v>
      </c>
      <c r="Z142" s="3" t="s">
        <v>498</v>
      </c>
      <c r="AB142">
        <v>22.5</v>
      </c>
      <c r="AC142" s="8" t="s">
        <v>1071</v>
      </c>
      <c r="AD142" s="8"/>
      <c r="AE142" s="8">
        <v>175</v>
      </c>
      <c r="AF142" s="8"/>
      <c r="AG142" s="8" t="s">
        <v>1036</v>
      </c>
      <c r="AH142" s="8" t="s">
        <v>1032</v>
      </c>
      <c r="AI142" s="11">
        <v>0.28999999999999998</v>
      </c>
      <c r="AJ142" s="11">
        <v>12.799999999999994</v>
      </c>
      <c r="AK142" s="11">
        <v>73.969499999999996</v>
      </c>
      <c r="AL142" s="11">
        <v>79.407400228896719</v>
      </c>
      <c r="AM142" s="11">
        <v>61.793199999999999</v>
      </c>
      <c r="AN142" s="8" t="s">
        <v>1032</v>
      </c>
      <c r="AO142" s="8" t="s">
        <v>1047</v>
      </c>
    </row>
    <row r="143" spans="3:41" x14ac:dyDescent="0.25">
      <c r="C143" t="s">
        <v>85</v>
      </c>
      <c r="D143" t="s">
        <v>12</v>
      </c>
      <c r="E143" t="s">
        <v>14</v>
      </c>
      <c r="F143">
        <v>2</v>
      </c>
      <c r="G143">
        <v>306</v>
      </c>
      <c r="H143">
        <v>577</v>
      </c>
      <c r="I143">
        <v>53</v>
      </c>
      <c r="L143">
        <f t="shared" si="33"/>
        <v>0</v>
      </c>
      <c r="M143">
        <f t="shared" si="42"/>
        <v>0</v>
      </c>
      <c r="N143">
        <f t="shared" si="34"/>
        <v>0</v>
      </c>
      <c r="O143">
        <f t="shared" si="35"/>
        <v>0</v>
      </c>
      <c r="P143">
        <f t="shared" si="36"/>
        <v>0</v>
      </c>
      <c r="Q143">
        <f t="shared" si="37"/>
        <v>0</v>
      </c>
      <c r="R143">
        <f t="shared" ref="R143:R206" si="44">IF(K143="SRM", 1, 0)</f>
        <v>0</v>
      </c>
      <c r="S143">
        <f t="shared" si="39"/>
        <v>0</v>
      </c>
      <c r="T143">
        <f t="shared" si="38"/>
        <v>0</v>
      </c>
      <c r="U143">
        <f t="shared" si="41"/>
        <v>0</v>
      </c>
      <c r="V143">
        <f t="shared" si="40"/>
        <v>0</v>
      </c>
      <c r="W143">
        <f t="shared" si="43"/>
        <v>0</v>
      </c>
      <c r="X143" t="s">
        <v>499</v>
      </c>
      <c r="Y143" t="s">
        <v>74</v>
      </c>
      <c r="Z143" s="3" t="s">
        <v>79</v>
      </c>
      <c r="AA143" t="s">
        <v>455</v>
      </c>
      <c r="AB143">
        <v>22.5</v>
      </c>
      <c r="AC143" s="8" t="s">
        <v>1071</v>
      </c>
      <c r="AD143" s="8"/>
      <c r="AE143" s="8">
        <v>175</v>
      </c>
      <c r="AF143" s="8"/>
      <c r="AG143" s="8" t="s">
        <v>1036</v>
      </c>
      <c r="AH143" s="8" t="s">
        <v>1032</v>
      </c>
      <c r="AI143" s="11">
        <v>0.28999999999999998</v>
      </c>
      <c r="AJ143" s="11">
        <v>12.799999999999994</v>
      </c>
      <c r="AK143" s="11">
        <v>73.969499999999996</v>
      </c>
      <c r="AL143" s="11">
        <v>79.407400228896719</v>
      </c>
      <c r="AM143" s="11">
        <v>61.793199999999999</v>
      </c>
      <c r="AN143" s="8" t="s">
        <v>1032</v>
      </c>
      <c r="AO143" s="8" t="s">
        <v>1047</v>
      </c>
    </row>
    <row r="144" spans="3:41" x14ac:dyDescent="0.25">
      <c r="C144" t="s">
        <v>90</v>
      </c>
      <c r="D144" t="s">
        <v>12</v>
      </c>
      <c r="E144" t="s">
        <v>14</v>
      </c>
      <c r="F144">
        <v>2</v>
      </c>
      <c r="G144">
        <v>339</v>
      </c>
      <c r="H144">
        <v>615.9</v>
      </c>
      <c r="I144">
        <v>55</v>
      </c>
      <c r="L144">
        <f t="shared" si="33"/>
        <v>0</v>
      </c>
      <c r="M144">
        <f t="shared" si="42"/>
        <v>0</v>
      </c>
      <c r="N144">
        <f t="shared" si="34"/>
        <v>0</v>
      </c>
      <c r="O144">
        <f t="shared" si="35"/>
        <v>0</v>
      </c>
      <c r="P144">
        <f t="shared" si="36"/>
        <v>0</v>
      </c>
      <c r="Q144">
        <f t="shared" si="37"/>
        <v>0</v>
      </c>
      <c r="R144">
        <f t="shared" si="44"/>
        <v>0</v>
      </c>
      <c r="S144">
        <f t="shared" si="39"/>
        <v>0</v>
      </c>
      <c r="T144">
        <f t="shared" si="38"/>
        <v>0</v>
      </c>
      <c r="U144">
        <f t="shared" si="41"/>
        <v>0</v>
      </c>
      <c r="V144">
        <f t="shared" si="40"/>
        <v>0</v>
      </c>
      <c r="W144">
        <f t="shared" si="43"/>
        <v>0</v>
      </c>
      <c r="X144" t="s">
        <v>500</v>
      </c>
      <c r="Y144" t="s">
        <v>83</v>
      </c>
      <c r="Z144" s="3" t="s">
        <v>410</v>
      </c>
      <c r="AA144" t="s">
        <v>435</v>
      </c>
      <c r="AB144">
        <v>22.5</v>
      </c>
      <c r="AC144" s="8" t="s">
        <v>1071</v>
      </c>
      <c r="AD144" s="8"/>
      <c r="AE144" s="8">
        <v>175</v>
      </c>
      <c r="AF144" s="8"/>
      <c r="AG144" s="8" t="s">
        <v>1036</v>
      </c>
      <c r="AH144" s="8" t="s">
        <v>1032</v>
      </c>
      <c r="AI144" s="11">
        <v>0.28999999999999998</v>
      </c>
      <c r="AJ144" s="11">
        <v>12.799999999999994</v>
      </c>
      <c r="AK144" s="11">
        <v>73.969499999999996</v>
      </c>
      <c r="AL144" s="11">
        <v>79.407400228896719</v>
      </c>
      <c r="AM144" s="11">
        <v>61.793199999999999</v>
      </c>
      <c r="AN144" s="8" t="s">
        <v>1032</v>
      </c>
      <c r="AO144" s="8" t="s">
        <v>1047</v>
      </c>
    </row>
    <row r="145" spans="1:41" x14ac:dyDescent="0.25">
      <c r="C145" t="s">
        <v>94</v>
      </c>
      <c r="D145" t="s">
        <v>12</v>
      </c>
      <c r="E145" t="s">
        <v>14</v>
      </c>
      <c r="F145">
        <v>2</v>
      </c>
      <c r="G145">
        <v>350.5</v>
      </c>
      <c r="H145">
        <v>629.20000000000005</v>
      </c>
      <c r="I145">
        <v>55.7</v>
      </c>
      <c r="L145">
        <f t="shared" si="33"/>
        <v>0</v>
      </c>
      <c r="M145">
        <f t="shared" si="42"/>
        <v>0</v>
      </c>
      <c r="N145">
        <f t="shared" si="34"/>
        <v>0</v>
      </c>
      <c r="O145">
        <f t="shared" si="35"/>
        <v>0</v>
      </c>
      <c r="P145">
        <f t="shared" si="36"/>
        <v>0</v>
      </c>
      <c r="Q145">
        <f t="shared" si="37"/>
        <v>0</v>
      </c>
      <c r="R145">
        <f t="shared" si="44"/>
        <v>0</v>
      </c>
      <c r="S145">
        <f t="shared" si="39"/>
        <v>0</v>
      </c>
      <c r="T145">
        <f t="shared" si="38"/>
        <v>0</v>
      </c>
      <c r="U145">
        <f t="shared" si="41"/>
        <v>0</v>
      </c>
      <c r="V145">
        <f t="shared" si="40"/>
        <v>0</v>
      </c>
      <c r="W145">
        <f t="shared" si="43"/>
        <v>0</v>
      </c>
      <c r="X145" t="s">
        <v>501</v>
      </c>
      <c r="Y145" t="s">
        <v>88</v>
      </c>
      <c r="Z145" s="3" t="s">
        <v>410</v>
      </c>
      <c r="AA145" t="s">
        <v>496</v>
      </c>
      <c r="AB145">
        <v>22.5</v>
      </c>
      <c r="AC145" s="8" t="s">
        <v>1071</v>
      </c>
      <c r="AD145" s="8"/>
      <c r="AE145" s="8">
        <v>175</v>
      </c>
      <c r="AF145" s="8"/>
      <c r="AG145" s="8" t="s">
        <v>1036</v>
      </c>
      <c r="AH145" s="8" t="s">
        <v>1032</v>
      </c>
      <c r="AI145" s="11">
        <v>0.28999999999999998</v>
      </c>
      <c r="AJ145" s="11">
        <v>12.799999999999994</v>
      </c>
      <c r="AK145" s="11">
        <v>73.969499999999996</v>
      </c>
      <c r="AL145" s="11">
        <v>79.407400228896719</v>
      </c>
      <c r="AM145" s="11">
        <v>61.793199999999999</v>
      </c>
      <c r="AN145" s="8" t="s">
        <v>1032</v>
      </c>
      <c r="AO145" s="8" t="s">
        <v>1047</v>
      </c>
    </row>
    <row r="146" spans="1:41" x14ac:dyDescent="0.25">
      <c r="C146" t="s">
        <v>98</v>
      </c>
      <c r="D146" t="s">
        <v>12</v>
      </c>
      <c r="E146" t="s">
        <v>489</v>
      </c>
      <c r="F146">
        <v>2</v>
      </c>
      <c r="G146">
        <v>373.5</v>
      </c>
      <c r="H146">
        <v>696.9</v>
      </c>
      <c r="I146">
        <v>53.6</v>
      </c>
      <c r="L146">
        <f t="shared" si="33"/>
        <v>0</v>
      </c>
      <c r="M146">
        <f t="shared" si="42"/>
        <v>0</v>
      </c>
      <c r="N146">
        <f t="shared" si="34"/>
        <v>0</v>
      </c>
      <c r="O146">
        <f t="shared" si="35"/>
        <v>0</v>
      </c>
      <c r="P146">
        <f t="shared" si="36"/>
        <v>0</v>
      </c>
      <c r="Q146">
        <f t="shared" si="37"/>
        <v>0</v>
      </c>
      <c r="R146">
        <f t="shared" si="44"/>
        <v>0</v>
      </c>
      <c r="S146">
        <f t="shared" si="39"/>
        <v>0</v>
      </c>
      <c r="T146">
        <f t="shared" si="38"/>
        <v>0</v>
      </c>
      <c r="U146">
        <f t="shared" si="41"/>
        <v>0</v>
      </c>
      <c r="V146">
        <f t="shared" si="40"/>
        <v>0</v>
      </c>
      <c r="W146">
        <f t="shared" si="43"/>
        <v>0</v>
      </c>
      <c r="X146" t="s">
        <v>502</v>
      </c>
      <c r="Y146" t="s">
        <v>92</v>
      </c>
      <c r="Z146" s="3" t="s">
        <v>97</v>
      </c>
      <c r="AB146">
        <v>22.5</v>
      </c>
      <c r="AC146" s="8" t="s">
        <v>1071</v>
      </c>
      <c r="AD146" s="8"/>
      <c r="AE146" s="8">
        <v>175</v>
      </c>
      <c r="AF146" s="8"/>
      <c r="AG146" s="8" t="s">
        <v>1036</v>
      </c>
      <c r="AH146" s="8" t="s">
        <v>1032</v>
      </c>
      <c r="AI146" s="11">
        <v>0.28999999999999998</v>
      </c>
      <c r="AJ146" s="11">
        <v>12.799999999999994</v>
      </c>
      <c r="AK146" s="11">
        <v>73.969499999999996</v>
      </c>
      <c r="AL146" s="11">
        <v>79.407400228896719</v>
      </c>
      <c r="AM146" s="11">
        <v>61.793199999999999</v>
      </c>
      <c r="AN146" s="8" t="s">
        <v>1032</v>
      </c>
      <c r="AO146" s="8" t="s">
        <v>1047</v>
      </c>
    </row>
    <row r="147" spans="1:41" x14ac:dyDescent="0.25">
      <c r="C147" t="s">
        <v>102</v>
      </c>
      <c r="D147" t="s">
        <v>12</v>
      </c>
      <c r="E147" t="s">
        <v>14</v>
      </c>
      <c r="F147">
        <v>2</v>
      </c>
      <c r="G147">
        <v>358.5</v>
      </c>
      <c r="H147">
        <v>683.2</v>
      </c>
      <c r="I147">
        <v>52.5</v>
      </c>
      <c r="L147">
        <f t="shared" si="33"/>
        <v>0</v>
      </c>
      <c r="M147">
        <f t="shared" si="42"/>
        <v>0</v>
      </c>
      <c r="N147">
        <f t="shared" si="34"/>
        <v>0</v>
      </c>
      <c r="O147">
        <f t="shared" si="35"/>
        <v>0</v>
      </c>
      <c r="P147">
        <f t="shared" si="36"/>
        <v>0</v>
      </c>
      <c r="Q147">
        <f t="shared" si="37"/>
        <v>0</v>
      </c>
      <c r="R147">
        <f t="shared" si="44"/>
        <v>0</v>
      </c>
      <c r="S147">
        <f t="shared" si="39"/>
        <v>0</v>
      </c>
      <c r="T147">
        <f t="shared" si="38"/>
        <v>0</v>
      </c>
      <c r="U147">
        <f t="shared" si="41"/>
        <v>0</v>
      </c>
      <c r="V147">
        <f t="shared" si="40"/>
        <v>0</v>
      </c>
      <c r="W147">
        <f t="shared" si="43"/>
        <v>0</v>
      </c>
      <c r="X147" t="s">
        <v>503</v>
      </c>
      <c r="Y147" t="s">
        <v>96</v>
      </c>
      <c r="Z147" s="3" t="s">
        <v>101</v>
      </c>
      <c r="AA147" t="s">
        <v>504</v>
      </c>
      <c r="AB147">
        <v>22.5</v>
      </c>
      <c r="AC147" s="8" t="s">
        <v>1071</v>
      </c>
      <c r="AD147" s="8"/>
      <c r="AE147" s="8">
        <v>175</v>
      </c>
      <c r="AF147" s="8"/>
      <c r="AG147" s="8" t="s">
        <v>1036</v>
      </c>
      <c r="AH147" s="8" t="s">
        <v>1032</v>
      </c>
      <c r="AI147" s="11">
        <v>0.28999999999999998</v>
      </c>
      <c r="AJ147" s="11">
        <v>12.799999999999994</v>
      </c>
      <c r="AK147" s="11">
        <v>73.969499999999996</v>
      </c>
      <c r="AL147" s="11">
        <v>79.407400228896719</v>
      </c>
      <c r="AM147" s="11">
        <v>61.793199999999999</v>
      </c>
      <c r="AN147" s="8" t="s">
        <v>1032</v>
      </c>
      <c r="AO147" s="8" t="s">
        <v>1047</v>
      </c>
    </row>
    <row r="148" spans="1:41" x14ac:dyDescent="0.25">
      <c r="C148" t="s">
        <v>107</v>
      </c>
      <c r="D148" t="s">
        <v>12</v>
      </c>
      <c r="E148" t="s">
        <v>14</v>
      </c>
      <c r="F148">
        <v>2</v>
      </c>
      <c r="G148">
        <v>291</v>
      </c>
      <c r="H148">
        <v>566.79999999999995</v>
      </c>
      <c r="I148">
        <v>51.3</v>
      </c>
      <c r="L148">
        <f t="shared" si="33"/>
        <v>0</v>
      </c>
      <c r="M148">
        <f t="shared" si="42"/>
        <v>0</v>
      </c>
      <c r="N148">
        <f t="shared" si="34"/>
        <v>0</v>
      </c>
      <c r="O148">
        <f t="shared" si="35"/>
        <v>0</v>
      </c>
      <c r="P148">
        <f t="shared" si="36"/>
        <v>0</v>
      </c>
      <c r="Q148">
        <f t="shared" si="37"/>
        <v>0</v>
      </c>
      <c r="R148">
        <f t="shared" si="44"/>
        <v>0</v>
      </c>
      <c r="S148">
        <f t="shared" si="39"/>
        <v>0</v>
      </c>
      <c r="T148">
        <f t="shared" si="38"/>
        <v>0</v>
      </c>
      <c r="U148">
        <f t="shared" si="41"/>
        <v>0</v>
      </c>
      <c r="V148">
        <f t="shared" si="40"/>
        <v>0</v>
      </c>
      <c r="W148">
        <f t="shared" si="43"/>
        <v>0</v>
      </c>
      <c r="X148" t="s">
        <v>505</v>
      </c>
      <c r="Y148" t="s">
        <v>100</v>
      </c>
      <c r="Z148" s="3" t="s">
        <v>105</v>
      </c>
      <c r="AA148" t="s">
        <v>448</v>
      </c>
      <c r="AB148">
        <v>22.5</v>
      </c>
      <c r="AC148" s="8" t="s">
        <v>1071</v>
      </c>
      <c r="AD148" s="8"/>
      <c r="AE148" s="8">
        <v>175</v>
      </c>
      <c r="AF148" s="8"/>
      <c r="AG148" s="8" t="s">
        <v>1036</v>
      </c>
      <c r="AH148" s="8" t="s">
        <v>1032</v>
      </c>
      <c r="AI148" s="11">
        <v>0.28999999999999998</v>
      </c>
      <c r="AJ148" s="11">
        <v>12.799999999999994</v>
      </c>
      <c r="AK148" s="11">
        <v>73.969499999999996</v>
      </c>
      <c r="AL148" s="11">
        <v>79.407400228896719</v>
      </c>
      <c r="AM148" s="11">
        <v>61.793199999999999</v>
      </c>
      <c r="AN148" s="8" t="s">
        <v>1032</v>
      </c>
      <c r="AO148" s="8" t="s">
        <v>1047</v>
      </c>
    </row>
    <row r="149" spans="1:41" x14ac:dyDescent="0.25">
      <c r="C149" t="s">
        <v>111</v>
      </c>
      <c r="D149" t="s">
        <v>12</v>
      </c>
      <c r="E149" t="s">
        <v>14</v>
      </c>
      <c r="F149">
        <v>2</v>
      </c>
      <c r="G149">
        <v>326.5</v>
      </c>
      <c r="H149">
        <v>616.1</v>
      </c>
      <c r="I149">
        <v>53</v>
      </c>
      <c r="L149">
        <f t="shared" ref="L149:L212" si="45">M149+N149+O149+P149+Q149+R149+S149+T149+U149+V149+W149</f>
        <v>0</v>
      </c>
      <c r="M149">
        <f t="shared" si="42"/>
        <v>0</v>
      </c>
      <c r="N149">
        <f t="shared" si="34"/>
        <v>0</v>
      </c>
      <c r="O149">
        <f t="shared" si="35"/>
        <v>0</v>
      </c>
      <c r="P149">
        <f t="shared" si="36"/>
        <v>0</v>
      </c>
      <c r="Q149">
        <f t="shared" si="37"/>
        <v>0</v>
      </c>
      <c r="R149">
        <f t="shared" si="44"/>
        <v>0</v>
      </c>
      <c r="S149">
        <f t="shared" si="39"/>
        <v>0</v>
      </c>
      <c r="T149">
        <f t="shared" si="38"/>
        <v>0</v>
      </c>
      <c r="U149">
        <f t="shared" si="41"/>
        <v>0</v>
      </c>
      <c r="V149">
        <f t="shared" si="40"/>
        <v>0</v>
      </c>
      <c r="W149">
        <f t="shared" si="43"/>
        <v>0</v>
      </c>
      <c r="X149" t="s">
        <v>506</v>
      </c>
      <c r="Y149" t="s">
        <v>104</v>
      </c>
      <c r="Z149" s="3" t="s">
        <v>113</v>
      </c>
      <c r="AB149">
        <v>22.5</v>
      </c>
      <c r="AC149" s="8" t="s">
        <v>1071</v>
      </c>
      <c r="AD149" s="8"/>
      <c r="AE149" s="8">
        <v>175</v>
      </c>
      <c r="AF149" s="8"/>
      <c r="AG149" s="8" t="s">
        <v>1036</v>
      </c>
      <c r="AH149" s="8" t="s">
        <v>1032</v>
      </c>
      <c r="AI149" s="11">
        <v>0.28999999999999998</v>
      </c>
      <c r="AJ149" s="11">
        <v>12.799999999999994</v>
      </c>
      <c r="AK149" s="11">
        <v>73.969499999999996</v>
      </c>
      <c r="AL149" s="11">
        <v>79.407400228896719</v>
      </c>
      <c r="AM149" s="11">
        <v>61.793199999999999</v>
      </c>
      <c r="AN149" s="8" t="s">
        <v>1032</v>
      </c>
      <c r="AO149" s="8" t="s">
        <v>1047</v>
      </c>
    </row>
    <row r="150" spans="1:41" x14ac:dyDescent="0.25">
      <c r="C150" t="s">
        <v>115</v>
      </c>
      <c r="D150" t="s">
        <v>12</v>
      </c>
      <c r="E150" t="s">
        <v>14</v>
      </c>
      <c r="F150">
        <v>2</v>
      </c>
      <c r="G150">
        <v>342.5</v>
      </c>
      <c r="H150">
        <v>636.9</v>
      </c>
      <c r="I150">
        <v>53.8</v>
      </c>
      <c r="L150">
        <f t="shared" si="45"/>
        <v>0</v>
      </c>
      <c r="M150">
        <f t="shared" si="42"/>
        <v>0</v>
      </c>
      <c r="N150">
        <f t="shared" ref="N150:N181" si="46">IF(K150="cirrhosis", 1, 0)</f>
        <v>0</v>
      </c>
      <c r="O150">
        <f t="shared" ref="O150:O213" si="47">IF(K150="bruised", 1, 0)</f>
        <v>0</v>
      </c>
      <c r="P150">
        <f t="shared" ref="P150:P213" si="48">IF(K150="inoculation", 1, 0)</f>
        <v>0</v>
      </c>
      <c r="Q150">
        <f t="shared" ref="Q150:Q213" si="49">IF(K150="Pleurisy", 1, 0)</f>
        <v>0</v>
      </c>
      <c r="R150">
        <f t="shared" si="44"/>
        <v>0</v>
      </c>
      <c r="S150">
        <f t="shared" si="39"/>
        <v>0</v>
      </c>
      <c r="T150">
        <f t="shared" ref="T150:T213" si="50">IF(J150="Condemned", 1, 0)</f>
        <v>0</v>
      </c>
      <c r="U150">
        <f t="shared" si="41"/>
        <v>0</v>
      </c>
      <c r="V150">
        <f t="shared" si="40"/>
        <v>0</v>
      </c>
      <c r="W150">
        <f t="shared" si="43"/>
        <v>0</v>
      </c>
      <c r="X150" t="s">
        <v>507</v>
      </c>
      <c r="Y150" t="s">
        <v>508</v>
      </c>
      <c r="Z150" s="3" t="s">
        <v>113</v>
      </c>
      <c r="AB150">
        <v>22.5</v>
      </c>
      <c r="AC150" s="8" t="s">
        <v>1071</v>
      </c>
      <c r="AD150" s="8"/>
      <c r="AE150" s="8">
        <v>175</v>
      </c>
      <c r="AF150" s="8"/>
      <c r="AG150" s="8" t="s">
        <v>1036</v>
      </c>
      <c r="AH150" s="8" t="s">
        <v>1032</v>
      </c>
      <c r="AI150" s="11">
        <v>0.28999999999999998</v>
      </c>
      <c r="AJ150" s="11">
        <v>12.799999999999994</v>
      </c>
      <c r="AK150" s="11">
        <v>73.969499999999996</v>
      </c>
      <c r="AL150" s="11">
        <v>79.407400228896719</v>
      </c>
      <c r="AM150" s="11">
        <v>61.793199999999999</v>
      </c>
      <c r="AN150" s="8" t="s">
        <v>1032</v>
      </c>
      <c r="AO150" s="8" t="s">
        <v>1047</v>
      </c>
    </row>
    <row r="151" spans="1:41" x14ac:dyDescent="0.25">
      <c r="C151" t="s">
        <v>120</v>
      </c>
      <c r="D151" t="s">
        <v>12</v>
      </c>
      <c r="E151" t="s">
        <v>14</v>
      </c>
      <c r="F151">
        <v>4</v>
      </c>
      <c r="G151">
        <v>338.5</v>
      </c>
      <c r="H151">
        <v>650.20000000000005</v>
      </c>
      <c r="I151">
        <v>52.1</v>
      </c>
      <c r="K151" t="s">
        <v>86</v>
      </c>
      <c r="L151">
        <f t="shared" si="45"/>
        <v>1</v>
      </c>
      <c r="M151">
        <f t="shared" si="42"/>
        <v>0</v>
      </c>
      <c r="N151">
        <f t="shared" si="46"/>
        <v>0</v>
      </c>
      <c r="O151">
        <f t="shared" si="47"/>
        <v>1</v>
      </c>
      <c r="P151">
        <f t="shared" si="48"/>
        <v>0</v>
      </c>
      <c r="Q151">
        <f t="shared" si="49"/>
        <v>0</v>
      </c>
      <c r="R151">
        <f t="shared" si="44"/>
        <v>0</v>
      </c>
      <c r="S151">
        <f t="shared" si="39"/>
        <v>0</v>
      </c>
      <c r="T151">
        <f t="shared" si="50"/>
        <v>0</v>
      </c>
      <c r="U151">
        <f t="shared" si="41"/>
        <v>0</v>
      </c>
      <c r="V151">
        <f t="shared" si="40"/>
        <v>0</v>
      </c>
      <c r="W151">
        <f t="shared" si="43"/>
        <v>0</v>
      </c>
      <c r="X151" t="s">
        <v>509</v>
      </c>
      <c r="Y151" t="s">
        <v>109</v>
      </c>
      <c r="Z151" s="3" t="s">
        <v>159</v>
      </c>
      <c r="AB151">
        <v>22.5</v>
      </c>
      <c r="AC151" s="8" t="s">
        <v>1071</v>
      </c>
      <c r="AD151" s="8"/>
      <c r="AE151" s="8">
        <v>175</v>
      </c>
      <c r="AF151" s="8"/>
      <c r="AG151" s="8" t="s">
        <v>1036</v>
      </c>
      <c r="AH151" s="8" t="s">
        <v>1032</v>
      </c>
      <c r="AI151" s="11">
        <v>0.28999999999999998</v>
      </c>
      <c r="AJ151" s="11">
        <v>12.799999999999994</v>
      </c>
      <c r="AK151" s="11">
        <v>73.969499999999996</v>
      </c>
      <c r="AL151" s="11">
        <v>79.407400228896719</v>
      </c>
      <c r="AM151" s="11">
        <v>61.793199999999999</v>
      </c>
      <c r="AN151" s="8" t="s">
        <v>1032</v>
      </c>
      <c r="AO151" s="8" t="s">
        <v>1047</v>
      </c>
    </row>
    <row r="152" spans="1:41" x14ac:dyDescent="0.25">
      <c r="C152" t="s">
        <v>124</v>
      </c>
      <c r="D152" t="s">
        <v>12</v>
      </c>
      <c r="E152" t="s">
        <v>14</v>
      </c>
      <c r="F152">
        <v>4</v>
      </c>
      <c r="G152">
        <v>313</v>
      </c>
      <c r="H152">
        <v>600.4</v>
      </c>
      <c r="I152">
        <v>52.1</v>
      </c>
      <c r="L152">
        <f t="shared" si="45"/>
        <v>0</v>
      </c>
      <c r="M152">
        <f t="shared" si="42"/>
        <v>0</v>
      </c>
      <c r="N152">
        <f t="shared" si="46"/>
        <v>0</v>
      </c>
      <c r="O152">
        <f t="shared" si="47"/>
        <v>0</v>
      </c>
      <c r="P152">
        <f t="shared" si="48"/>
        <v>0</v>
      </c>
      <c r="Q152">
        <f t="shared" si="49"/>
        <v>0</v>
      </c>
      <c r="R152">
        <f t="shared" si="44"/>
        <v>0</v>
      </c>
      <c r="S152">
        <f t="shared" si="39"/>
        <v>0</v>
      </c>
      <c r="T152">
        <f t="shared" si="50"/>
        <v>0</v>
      </c>
      <c r="U152">
        <f t="shared" si="41"/>
        <v>0</v>
      </c>
      <c r="V152">
        <f t="shared" si="40"/>
        <v>0</v>
      </c>
      <c r="W152">
        <f t="shared" si="43"/>
        <v>0</v>
      </c>
      <c r="X152" t="s">
        <v>510</v>
      </c>
      <c r="Y152" t="s">
        <v>118</v>
      </c>
      <c r="Z152" s="3" t="s">
        <v>511</v>
      </c>
      <c r="AB152">
        <v>22.5</v>
      </c>
      <c r="AC152" s="8" t="s">
        <v>1071</v>
      </c>
      <c r="AD152" s="8"/>
      <c r="AE152" s="8">
        <v>175</v>
      </c>
      <c r="AF152" s="8"/>
      <c r="AG152" s="8" t="s">
        <v>1036</v>
      </c>
      <c r="AH152" s="8" t="s">
        <v>1032</v>
      </c>
      <c r="AI152" s="11">
        <v>0.28999999999999998</v>
      </c>
      <c r="AJ152" s="11">
        <v>12.799999999999994</v>
      </c>
      <c r="AK152" s="11">
        <v>73.969499999999996</v>
      </c>
      <c r="AL152" s="11">
        <v>79.407400228896719</v>
      </c>
      <c r="AM152" s="11">
        <v>61.793199999999999</v>
      </c>
      <c r="AN152" s="8" t="s">
        <v>1032</v>
      </c>
      <c r="AO152" s="8" t="s">
        <v>1047</v>
      </c>
    </row>
    <row r="153" spans="1:41" x14ac:dyDescent="0.25">
      <c r="C153" t="s">
        <v>128</v>
      </c>
      <c r="D153" t="s">
        <v>12</v>
      </c>
      <c r="E153" t="s">
        <v>14</v>
      </c>
      <c r="F153">
        <v>2</v>
      </c>
      <c r="G153">
        <v>310</v>
      </c>
      <c r="H153">
        <v>592.1</v>
      </c>
      <c r="I153">
        <v>52.4</v>
      </c>
      <c r="L153">
        <f t="shared" si="45"/>
        <v>0</v>
      </c>
      <c r="M153">
        <f t="shared" si="42"/>
        <v>0</v>
      </c>
      <c r="N153">
        <f t="shared" si="46"/>
        <v>0</v>
      </c>
      <c r="O153">
        <f t="shared" si="47"/>
        <v>0</v>
      </c>
      <c r="P153">
        <f t="shared" si="48"/>
        <v>0</v>
      </c>
      <c r="Q153">
        <f t="shared" si="49"/>
        <v>0</v>
      </c>
      <c r="R153">
        <f t="shared" si="44"/>
        <v>0</v>
      </c>
      <c r="S153">
        <f t="shared" si="39"/>
        <v>0</v>
      </c>
      <c r="T153">
        <f t="shared" si="50"/>
        <v>0</v>
      </c>
      <c r="U153">
        <f t="shared" si="41"/>
        <v>0</v>
      </c>
      <c r="V153">
        <f t="shared" si="40"/>
        <v>0</v>
      </c>
      <c r="W153">
        <f t="shared" si="43"/>
        <v>0</v>
      </c>
      <c r="X153" t="s">
        <v>512</v>
      </c>
      <c r="Y153" t="s">
        <v>122</v>
      </c>
      <c r="Z153" s="3" t="s">
        <v>127</v>
      </c>
      <c r="AA153" t="s">
        <v>496</v>
      </c>
      <c r="AB153">
        <v>22.5</v>
      </c>
      <c r="AC153" s="8" t="s">
        <v>1071</v>
      </c>
      <c r="AD153" s="8"/>
      <c r="AE153" s="8">
        <v>175</v>
      </c>
      <c r="AF153" s="8"/>
      <c r="AG153" s="8" t="s">
        <v>1036</v>
      </c>
      <c r="AH153" s="8" t="s">
        <v>1032</v>
      </c>
      <c r="AI153" s="11">
        <v>0.28999999999999998</v>
      </c>
      <c r="AJ153" s="11">
        <v>12.799999999999994</v>
      </c>
      <c r="AK153" s="11">
        <v>73.969499999999996</v>
      </c>
      <c r="AL153" s="11">
        <v>79.407400228896719</v>
      </c>
      <c r="AM153" s="11">
        <v>61.793199999999999</v>
      </c>
      <c r="AN153" s="8" t="s">
        <v>1032</v>
      </c>
      <c r="AO153" s="8" t="s">
        <v>1047</v>
      </c>
    </row>
    <row r="154" spans="1:41" x14ac:dyDescent="0.25">
      <c r="C154" t="s">
        <v>131</v>
      </c>
      <c r="D154" t="s">
        <v>12</v>
      </c>
      <c r="E154" t="s">
        <v>14</v>
      </c>
      <c r="F154">
        <v>4</v>
      </c>
      <c r="G154">
        <v>370.5</v>
      </c>
      <c r="H154">
        <v>710.3</v>
      </c>
      <c r="I154">
        <v>52.2</v>
      </c>
      <c r="L154">
        <f t="shared" si="45"/>
        <v>0</v>
      </c>
      <c r="M154">
        <f t="shared" si="42"/>
        <v>0</v>
      </c>
      <c r="N154">
        <f t="shared" si="46"/>
        <v>0</v>
      </c>
      <c r="O154">
        <f t="shared" si="47"/>
        <v>0</v>
      </c>
      <c r="P154">
        <f t="shared" si="48"/>
        <v>0</v>
      </c>
      <c r="Q154">
        <f t="shared" si="49"/>
        <v>0</v>
      </c>
      <c r="R154">
        <f t="shared" si="44"/>
        <v>0</v>
      </c>
      <c r="S154">
        <f t="shared" si="39"/>
        <v>0</v>
      </c>
      <c r="T154">
        <f t="shared" si="50"/>
        <v>0</v>
      </c>
      <c r="U154">
        <f t="shared" si="41"/>
        <v>0</v>
      </c>
      <c r="V154">
        <f t="shared" si="40"/>
        <v>0</v>
      </c>
      <c r="W154">
        <f t="shared" si="43"/>
        <v>0</v>
      </c>
      <c r="X154" t="s">
        <v>513</v>
      </c>
      <c r="Y154" t="s">
        <v>122</v>
      </c>
      <c r="Z154" s="3" t="s">
        <v>514</v>
      </c>
      <c r="AA154" t="s">
        <v>496</v>
      </c>
      <c r="AB154">
        <v>22.5</v>
      </c>
      <c r="AC154" s="8" t="s">
        <v>1071</v>
      </c>
      <c r="AD154" s="8"/>
      <c r="AE154" s="8">
        <v>175</v>
      </c>
      <c r="AF154" s="8"/>
      <c r="AG154" s="8" t="s">
        <v>1036</v>
      </c>
      <c r="AH154" s="8" t="s">
        <v>1032</v>
      </c>
      <c r="AI154" s="11">
        <v>0.28999999999999998</v>
      </c>
      <c r="AJ154" s="11">
        <v>12.799999999999994</v>
      </c>
      <c r="AK154" s="11">
        <v>73.969499999999996</v>
      </c>
      <c r="AL154" s="11">
        <v>79.407400228896719</v>
      </c>
      <c r="AM154" s="11">
        <v>61.793199999999999</v>
      </c>
      <c r="AN154" s="8" t="s">
        <v>1032</v>
      </c>
      <c r="AO154" s="8" t="s">
        <v>1047</v>
      </c>
    </row>
    <row r="155" spans="1:41" x14ac:dyDescent="0.25">
      <c r="C155" t="s">
        <v>135</v>
      </c>
      <c r="D155" t="s">
        <v>12</v>
      </c>
      <c r="E155" t="s">
        <v>14</v>
      </c>
      <c r="F155">
        <v>2</v>
      </c>
      <c r="G155">
        <v>331</v>
      </c>
      <c r="H155">
        <v>634.1</v>
      </c>
      <c r="I155">
        <v>52.2</v>
      </c>
      <c r="L155">
        <f t="shared" si="45"/>
        <v>0</v>
      </c>
      <c r="M155">
        <f t="shared" si="42"/>
        <v>0</v>
      </c>
      <c r="N155">
        <f t="shared" si="46"/>
        <v>0</v>
      </c>
      <c r="O155">
        <f t="shared" si="47"/>
        <v>0</v>
      </c>
      <c r="P155">
        <f t="shared" si="48"/>
        <v>0</v>
      </c>
      <c r="Q155">
        <f t="shared" si="49"/>
        <v>0</v>
      </c>
      <c r="R155">
        <f t="shared" si="44"/>
        <v>0</v>
      </c>
      <c r="S155">
        <f t="shared" si="39"/>
        <v>0</v>
      </c>
      <c r="T155">
        <f t="shared" si="50"/>
        <v>0</v>
      </c>
      <c r="U155">
        <f t="shared" si="41"/>
        <v>0</v>
      </c>
      <c r="V155">
        <f t="shared" si="40"/>
        <v>0</v>
      </c>
      <c r="W155">
        <f t="shared" si="43"/>
        <v>0</v>
      </c>
      <c r="X155" t="s">
        <v>515</v>
      </c>
      <c r="Y155" t="s">
        <v>126</v>
      </c>
      <c r="Z155" s="3" t="s">
        <v>134</v>
      </c>
      <c r="AA155" t="s">
        <v>455</v>
      </c>
      <c r="AB155">
        <v>22.5</v>
      </c>
      <c r="AC155" s="8" t="s">
        <v>1071</v>
      </c>
      <c r="AD155" s="8"/>
      <c r="AE155" s="8">
        <v>175</v>
      </c>
      <c r="AF155" s="8"/>
      <c r="AG155" s="8" t="s">
        <v>1036</v>
      </c>
      <c r="AH155" s="8" t="s">
        <v>1032</v>
      </c>
      <c r="AI155" s="11">
        <v>0.28999999999999998</v>
      </c>
      <c r="AJ155" s="11">
        <v>12.799999999999994</v>
      </c>
      <c r="AK155" s="11">
        <v>73.969499999999996</v>
      </c>
      <c r="AL155" s="11">
        <v>79.407400228896719</v>
      </c>
      <c r="AM155" s="11">
        <v>61.793199999999999</v>
      </c>
      <c r="AN155" s="8" t="s">
        <v>1032</v>
      </c>
      <c r="AO155" s="8" t="s">
        <v>1047</v>
      </c>
    </row>
    <row r="156" spans="1:41" x14ac:dyDescent="0.25">
      <c r="A156" s="2"/>
      <c r="B156" s="2"/>
      <c r="C156" s="2" t="s">
        <v>139</v>
      </c>
      <c r="D156" s="2" t="s">
        <v>12</v>
      </c>
      <c r="E156" s="2" t="s">
        <v>14</v>
      </c>
      <c r="F156" s="2">
        <v>2</v>
      </c>
      <c r="G156" s="2">
        <v>321.5</v>
      </c>
      <c r="H156" s="2">
        <v>597.6</v>
      </c>
      <c r="I156" s="2">
        <v>53.8</v>
      </c>
      <c r="J156" s="2"/>
      <c r="K156" s="2"/>
      <c r="L156" s="2">
        <f t="shared" si="45"/>
        <v>0</v>
      </c>
      <c r="M156" s="2">
        <f t="shared" si="42"/>
        <v>0</v>
      </c>
      <c r="N156" s="2">
        <f t="shared" si="46"/>
        <v>0</v>
      </c>
      <c r="O156" s="2">
        <f t="shared" si="47"/>
        <v>0</v>
      </c>
      <c r="P156" s="2">
        <f t="shared" si="48"/>
        <v>0</v>
      </c>
      <c r="Q156" s="2">
        <f t="shared" si="49"/>
        <v>0</v>
      </c>
      <c r="R156" s="2">
        <f t="shared" si="44"/>
        <v>0</v>
      </c>
      <c r="S156" s="2">
        <f t="shared" si="39"/>
        <v>0</v>
      </c>
      <c r="T156" s="2">
        <f t="shared" si="50"/>
        <v>0</v>
      </c>
      <c r="U156" s="2">
        <f t="shared" si="41"/>
        <v>0</v>
      </c>
      <c r="V156" s="2">
        <f t="shared" si="40"/>
        <v>0</v>
      </c>
      <c r="W156" s="2">
        <f t="shared" si="43"/>
        <v>0</v>
      </c>
      <c r="X156" s="2" t="s">
        <v>516</v>
      </c>
      <c r="Y156" s="2" t="s">
        <v>130</v>
      </c>
      <c r="Z156" s="6" t="s">
        <v>134</v>
      </c>
      <c r="AA156" s="2" t="s">
        <v>448</v>
      </c>
      <c r="AB156" s="2">
        <v>22.5</v>
      </c>
      <c r="AC156" s="9" t="s">
        <v>1071</v>
      </c>
      <c r="AD156" s="9"/>
      <c r="AE156" s="9">
        <v>175</v>
      </c>
      <c r="AF156" s="9"/>
      <c r="AG156" s="9" t="s">
        <v>1036</v>
      </c>
      <c r="AH156" s="9" t="s">
        <v>1032</v>
      </c>
      <c r="AI156" s="19">
        <v>0.28999999999999998</v>
      </c>
      <c r="AJ156" s="19">
        <v>12.799999999999994</v>
      </c>
      <c r="AK156" s="19">
        <v>73.969499999999996</v>
      </c>
      <c r="AL156" s="19">
        <v>79.407400228896719</v>
      </c>
      <c r="AM156" s="19">
        <v>61.793199999999999</v>
      </c>
      <c r="AN156" s="9" t="s">
        <v>1032</v>
      </c>
      <c r="AO156" s="9" t="s">
        <v>1047</v>
      </c>
    </row>
    <row r="157" spans="1:41" ht="15.75" x14ac:dyDescent="0.25">
      <c r="A157" s="7">
        <v>44552</v>
      </c>
      <c r="B157" t="s">
        <v>517</v>
      </c>
      <c r="C157" t="s">
        <v>62</v>
      </c>
      <c r="D157" t="s">
        <v>12</v>
      </c>
      <c r="E157" t="s">
        <v>14</v>
      </c>
      <c r="F157">
        <v>4</v>
      </c>
      <c r="G157">
        <v>385</v>
      </c>
      <c r="H157">
        <v>723.8</v>
      </c>
      <c r="I157">
        <v>53.2</v>
      </c>
      <c r="L157">
        <f t="shared" si="45"/>
        <v>0</v>
      </c>
      <c r="M157">
        <f t="shared" si="42"/>
        <v>0</v>
      </c>
      <c r="N157">
        <f t="shared" si="46"/>
        <v>0</v>
      </c>
      <c r="O157">
        <f t="shared" si="47"/>
        <v>0</v>
      </c>
      <c r="P157">
        <f t="shared" si="48"/>
        <v>0</v>
      </c>
      <c r="Q157">
        <f t="shared" si="49"/>
        <v>0</v>
      </c>
      <c r="R157">
        <f t="shared" si="44"/>
        <v>0</v>
      </c>
      <c r="S157">
        <f t="shared" si="39"/>
        <v>0</v>
      </c>
      <c r="T157">
        <f t="shared" si="50"/>
        <v>0</v>
      </c>
      <c r="U157">
        <f t="shared" si="41"/>
        <v>0</v>
      </c>
      <c r="V157">
        <f t="shared" si="40"/>
        <v>0</v>
      </c>
      <c r="W157">
        <f t="shared" si="43"/>
        <v>0</v>
      </c>
      <c r="X157" t="s">
        <v>518</v>
      </c>
      <c r="Y157" t="s">
        <v>473</v>
      </c>
      <c r="Z157" s="3" t="s">
        <v>467</v>
      </c>
      <c r="AA157" t="s">
        <v>519</v>
      </c>
      <c r="AB157">
        <f>(24-15)+12.5</f>
        <v>21.5</v>
      </c>
      <c r="AC157" s="8" t="s">
        <v>1071</v>
      </c>
      <c r="AD157" s="8"/>
      <c r="AE157" s="8">
        <v>175</v>
      </c>
      <c r="AF157" s="8"/>
      <c r="AG157" s="8" t="s">
        <v>1036</v>
      </c>
      <c r="AH157" s="8" t="s">
        <v>1032</v>
      </c>
      <c r="AI157" s="11">
        <v>0.26</v>
      </c>
      <c r="AJ157" s="11">
        <v>0</v>
      </c>
      <c r="AK157" s="11">
        <v>69.273860000000013</v>
      </c>
      <c r="AL157" s="11">
        <v>73.824201250778842</v>
      </c>
      <c r="AM157" s="11">
        <v>47.082299999999989</v>
      </c>
      <c r="AN157" s="8" t="s">
        <v>1032</v>
      </c>
      <c r="AO157" s="8" t="s">
        <v>1047</v>
      </c>
    </row>
    <row r="158" spans="1:41" x14ac:dyDescent="0.25">
      <c r="C158" t="s">
        <v>67</v>
      </c>
      <c r="D158" t="s">
        <v>12</v>
      </c>
      <c r="E158" t="s">
        <v>14</v>
      </c>
      <c r="F158">
        <v>4</v>
      </c>
      <c r="G158">
        <v>344</v>
      </c>
      <c r="H158">
        <v>645.6</v>
      </c>
      <c r="I158">
        <v>53.3</v>
      </c>
      <c r="L158">
        <f t="shared" si="45"/>
        <v>0</v>
      </c>
      <c r="M158">
        <f t="shared" si="42"/>
        <v>0</v>
      </c>
      <c r="N158">
        <f t="shared" si="46"/>
        <v>0</v>
      </c>
      <c r="O158">
        <f t="shared" si="47"/>
        <v>0</v>
      </c>
      <c r="P158">
        <f t="shared" si="48"/>
        <v>0</v>
      </c>
      <c r="Q158">
        <f t="shared" si="49"/>
        <v>0</v>
      </c>
      <c r="R158">
        <f t="shared" si="44"/>
        <v>0</v>
      </c>
      <c r="S158">
        <f t="shared" si="39"/>
        <v>0</v>
      </c>
      <c r="T158">
        <f t="shared" si="50"/>
        <v>0</v>
      </c>
      <c r="U158">
        <f t="shared" si="41"/>
        <v>0</v>
      </c>
      <c r="V158">
        <f t="shared" si="40"/>
        <v>0</v>
      </c>
      <c r="W158">
        <f t="shared" si="43"/>
        <v>0</v>
      </c>
      <c r="X158" t="s">
        <v>520</v>
      </c>
      <c r="Y158" t="s">
        <v>476</v>
      </c>
      <c r="Z158" s="3" t="s">
        <v>467</v>
      </c>
      <c r="AA158" t="s">
        <v>521</v>
      </c>
      <c r="AB158">
        <v>21.5</v>
      </c>
      <c r="AC158" s="8" t="s">
        <v>1071</v>
      </c>
      <c r="AD158" s="8"/>
      <c r="AE158" s="8">
        <v>175</v>
      </c>
      <c r="AF158" s="8"/>
      <c r="AG158" s="8" t="s">
        <v>1036</v>
      </c>
      <c r="AH158" s="8" t="s">
        <v>1032</v>
      </c>
      <c r="AI158" s="11">
        <v>0.26</v>
      </c>
      <c r="AJ158" s="11">
        <v>0</v>
      </c>
      <c r="AK158" s="11">
        <v>69.273860000000013</v>
      </c>
      <c r="AL158" s="11">
        <v>73.824201250778842</v>
      </c>
      <c r="AM158" s="11">
        <v>47.082299999999989</v>
      </c>
      <c r="AN158" s="8" t="s">
        <v>1032</v>
      </c>
      <c r="AO158" s="8" t="s">
        <v>1047</v>
      </c>
    </row>
    <row r="159" spans="1:41" x14ac:dyDescent="0.25">
      <c r="C159" t="s">
        <v>72</v>
      </c>
      <c r="D159" t="s">
        <v>12</v>
      </c>
      <c r="E159" t="s">
        <v>14</v>
      </c>
      <c r="F159">
        <v>2</v>
      </c>
      <c r="G159">
        <v>347</v>
      </c>
      <c r="H159">
        <v>618.70000000000005</v>
      </c>
      <c r="I159">
        <v>56.1</v>
      </c>
      <c r="L159">
        <f t="shared" si="45"/>
        <v>0</v>
      </c>
      <c r="M159">
        <f t="shared" si="42"/>
        <v>0</v>
      </c>
      <c r="N159">
        <f t="shared" si="46"/>
        <v>0</v>
      </c>
      <c r="O159">
        <f t="shared" si="47"/>
        <v>0</v>
      </c>
      <c r="P159">
        <f t="shared" si="48"/>
        <v>0</v>
      </c>
      <c r="Q159">
        <f t="shared" si="49"/>
        <v>0</v>
      </c>
      <c r="R159">
        <f t="shared" si="44"/>
        <v>0</v>
      </c>
      <c r="S159">
        <f t="shared" si="39"/>
        <v>0</v>
      </c>
      <c r="T159">
        <f t="shared" si="50"/>
        <v>0</v>
      </c>
      <c r="U159">
        <f t="shared" si="41"/>
        <v>0</v>
      </c>
      <c r="V159">
        <f t="shared" si="40"/>
        <v>0</v>
      </c>
      <c r="W159">
        <f t="shared" si="43"/>
        <v>0</v>
      </c>
      <c r="X159" t="s">
        <v>522</v>
      </c>
      <c r="Y159" t="s">
        <v>476</v>
      </c>
      <c r="Z159" s="3" t="s">
        <v>364</v>
      </c>
      <c r="AA159" t="s">
        <v>521</v>
      </c>
      <c r="AB159">
        <v>21.5</v>
      </c>
      <c r="AC159" s="8" t="s">
        <v>1071</v>
      </c>
      <c r="AD159" s="8"/>
      <c r="AE159" s="8">
        <v>175</v>
      </c>
      <c r="AF159" s="8"/>
      <c r="AG159" s="8" t="s">
        <v>1036</v>
      </c>
      <c r="AH159" s="8" t="s">
        <v>1032</v>
      </c>
      <c r="AI159" s="11">
        <v>0.26</v>
      </c>
      <c r="AJ159" s="11">
        <v>0</v>
      </c>
      <c r="AK159" s="11">
        <v>69.273860000000013</v>
      </c>
      <c r="AL159" s="11">
        <v>73.824201250778842</v>
      </c>
      <c r="AM159" s="11">
        <v>47.082299999999989</v>
      </c>
      <c r="AN159" s="8" t="s">
        <v>1032</v>
      </c>
      <c r="AO159" s="8" t="s">
        <v>1047</v>
      </c>
    </row>
    <row r="160" spans="1:41" x14ac:dyDescent="0.25">
      <c r="C160" t="s">
        <v>77</v>
      </c>
      <c r="D160" t="s">
        <v>12</v>
      </c>
      <c r="E160" t="s">
        <v>14</v>
      </c>
      <c r="F160">
        <v>4</v>
      </c>
      <c r="G160">
        <v>365.5</v>
      </c>
      <c r="H160">
        <v>654.9</v>
      </c>
      <c r="I160">
        <v>55.8</v>
      </c>
      <c r="L160">
        <f t="shared" si="45"/>
        <v>0</v>
      </c>
      <c r="M160">
        <f t="shared" si="42"/>
        <v>0</v>
      </c>
      <c r="N160">
        <f t="shared" si="46"/>
        <v>0</v>
      </c>
      <c r="O160">
        <f t="shared" si="47"/>
        <v>0</v>
      </c>
      <c r="P160">
        <f t="shared" si="48"/>
        <v>0</v>
      </c>
      <c r="Q160">
        <f t="shared" si="49"/>
        <v>0</v>
      </c>
      <c r="R160">
        <f t="shared" si="44"/>
        <v>0</v>
      </c>
      <c r="S160">
        <f t="shared" si="39"/>
        <v>0</v>
      </c>
      <c r="T160">
        <f t="shared" si="50"/>
        <v>0</v>
      </c>
      <c r="U160">
        <f t="shared" si="41"/>
        <v>0</v>
      </c>
      <c r="V160">
        <f t="shared" si="40"/>
        <v>0</v>
      </c>
      <c r="W160">
        <f t="shared" si="43"/>
        <v>0</v>
      </c>
      <c r="X160" t="s">
        <v>523</v>
      </c>
      <c r="Y160" t="s">
        <v>479</v>
      </c>
      <c r="Z160" s="3" t="s">
        <v>370</v>
      </c>
      <c r="AA160" t="s">
        <v>521</v>
      </c>
      <c r="AB160">
        <v>21.5</v>
      </c>
      <c r="AC160" s="8" t="s">
        <v>1071</v>
      </c>
      <c r="AD160" s="8"/>
      <c r="AE160" s="8">
        <v>175</v>
      </c>
      <c r="AF160" s="8"/>
      <c r="AG160" s="8" t="s">
        <v>1036</v>
      </c>
      <c r="AH160" s="8" t="s">
        <v>1032</v>
      </c>
      <c r="AI160" s="11">
        <v>0.26</v>
      </c>
      <c r="AJ160" s="11">
        <v>0</v>
      </c>
      <c r="AK160" s="11">
        <v>69.273860000000013</v>
      </c>
      <c r="AL160" s="11">
        <v>73.824201250778842</v>
      </c>
      <c r="AM160" s="11">
        <v>47.082299999999989</v>
      </c>
      <c r="AN160" s="8" t="s">
        <v>1032</v>
      </c>
      <c r="AO160" s="8" t="s">
        <v>1047</v>
      </c>
    </row>
    <row r="161" spans="1:41" x14ac:dyDescent="0.25">
      <c r="C161" t="s">
        <v>81</v>
      </c>
      <c r="D161" t="s">
        <v>12</v>
      </c>
      <c r="E161" t="s">
        <v>14</v>
      </c>
      <c r="F161">
        <v>2</v>
      </c>
      <c r="G161">
        <v>353</v>
      </c>
      <c r="H161">
        <v>644.4</v>
      </c>
      <c r="I161">
        <v>54.8</v>
      </c>
      <c r="L161">
        <f t="shared" si="45"/>
        <v>0</v>
      </c>
      <c r="M161">
        <f t="shared" si="42"/>
        <v>0</v>
      </c>
      <c r="N161">
        <f t="shared" si="46"/>
        <v>0</v>
      </c>
      <c r="O161">
        <f t="shared" si="47"/>
        <v>0</v>
      </c>
      <c r="P161">
        <f t="shared" si="48"/>
        <v>0</v>
      </c>
      <c r="Q161">
        <f t="shared" si="49"/>
        <v>0</v>
      </c>
      <c r="R161">
        <f t="shared" si="44"/>
        <v>0</v>
      </c>
      <c r="S161">
        <f t="shared" si="39"/>
        <v>0</v>
      </c>
      <c r="T161">
        <f t="shared" si="50"/>
        <v>0</v>
      </c>
      <c r="U161">
        <f t="shared" si="41"/>
        <v>0</v>
      </c>
      <c r="V161">
        <f t="shared" si="40"/>
        <v>0</v>
      </c>
      <c r="W161">
        <f t="shared" si="43"/>
        <v>0</v>
      </c>
      <c r="X161" t="s">
        <v>524</v>
      </c>
      <c r="Y161" t="s">
        <v>484</v>
      </c>
      <c r="Z161" s="3" t="s">
        <v>93</v>
      </c>
      <c r="AA161" t="s">
        <v>519</v>
      </c>
      <c r="AB161">
        <v>21.5</v>
      </c>
      <c r="AC161" s="8" t="s">
        <v>1071</v>
      </c>
      <c r="AD161" s="8"/>
      <c r="AE161" s="8">
        <v>175</v>
      </c>
      <c r="AF161" s="8"/>
      <c r="AG161" s="8" t="s">
        <v>1036</v>
      </c>
      <c r="AH161" s="8" t="s">
        <v>1032</v>
      </c>
      <c r="AI161" s="11">
        <v>0.26</v>
      </c>
      <c r="AJ161" s="11">
        <v>0</v>
      </c>
      <c r="AK161" s="11">
        <v>69.273860000000013</v>
      </c>
      <c r="AL161" s="11">
        <v>73.824201250778842</v>
      </c>
      <c r="AM161" s="11">
        <v>47.082299999999989</v>
      </c>
      <c r="AN161" s="8" t="s">
        <v>1032</v>
      </c>
      <c r="AO161" s="8" t="s">
        <v>1047</v>
      </c>
    </row>
    <row r="162" spans="1:41" x14ac:dyDescent="0.25">
      <c r="C162" t="s">
        <v>85</v>
      </c>
      <c r="D162" t="s">
        <v>12</v>
      </c>
      <c r="E162" t="s">
        <v>14</v>
      </c>
      <c r="F162">
        <v>4</v>
      </c>
      <c r="G162">
        <v>365.5</v>
      </c>
      <c r="H162">
        <v>685.8</v>
      </c>
      <c r="I162">
        <v>53.3</v>
      </c>
      <c r="L162">
        <f t="shared" si="45"/>
        <v>0</v>
      </c>
      <c r="M162">
        <f t="shared" si="42"/>
        <v>0</v>
      </c>
      <c r="N162">
        <f t="shared" si="46"/>
        <v>0</v>
      </c>
      <c r="O162">
        <f t="shared" si="47"/>
        <v>0</v>
      </c>
      <c r="P162">
        <f t="shared" si="48"/>
        <v>0</v>
      </c>
      <c r="Q162">
        <f t="shared" si="49"/>
        <v>0</v>
      </c>
      <c r="R162">
        <f t="shared" si="44"/>
        <v>0</v>
      </c>
      <c r="S162">
        <f t="shared" si="39"/>
        <v>0</v>
      </c>
      <c r="T162">
        <f t="shared" si="50"/>
        <v>0</v>
      </c>
      <c r="U162">
        <f t="shared" si="41"/>
        <v>0</v>
      </c>
      <c r="V162">
        <f t="shared" si="40"/>
        <v>0</v>
      </c>
      <c r="W162">
        <f t="shared" si="43"/>
        <v>0</v>
      </c>
      <c r="X162" t="s">
        <v>525</v>
      </c>
      <c r="Y162" t="s">
        <v>56</v>
      </c>
      <c r="Z162" s="3" t="s">
        <v>526</v>
      </c>
      <c r="AA162" t="s">
        <v>527</v>
      </c>
      <c r="AB162">
        <v>21.5</v>
      </c>
      <c r="AC162" s="8" t="s">
        <v>1071</v>
      </c>
      <c r="AD162" s="8"/>
      <c r="AE162" s="8">
        <v>175</v>
      </c>
      <c r="AF162" s="8"/>
      <c r="AG162" s="8" t="s">
        <v>1036</v>
      </c>
      <c r="AH162" s="8" t="s">
        <v>1032</v>
      </c>
      <c r="AI162" s="11">
        <v>0.26</v>
      </c>
      <c r="AJ162" s="11">
        <v>0</v>
      </c>
      <c r="AK162" s="11">
        <v>69.273860000000013</v>
      </c>
      <c r="AL162" s="11">
        <v>73.824201250778842</v>
      </c>
      <c r="AM162" s="11">
        <v>47.082299999999989</v>
      </c>
      <c r="AN162" s="8" t="s">
        <v>1032</v>
      </c>
      <c r="AO162" s="8" t="s">
        <v>1047</v>
      </c>
    </row>
    <row r="163" spans="1:41" x14ac:dyDescent="0.25">
      <c r="C163" t="s">
        <v>90</v>
      </c>
      <c r="D163" t="s">
        <v>12</v>
      </c>
      <c r="E163" t="s">
        <v>14</v>
      </c>
      <c r="F163">
        <v>2</v>
      </c>
      <c r="G163">
        <v>368</v>
      </c>
      <c r="H163">
        <v>660.3</v>
      </c>
      <c r="I163">
        <v>55.7</v>
      </c>
      <c r="L163">
        <f t="shared" si="45"/>
        <v>0</v>
      </c>
      <c r="M163">
        <f t="shared" si="42"/>
        <v>0</v>
      </c>
      <c r="N163">
        <f t="shared" si="46"/>
        <v>0</v>
      </c>
      <c r="O163">
        <f t="shared" si="47"/>
        <v>0</v>
      </c>
      <c r="P163">
        <f t="shared" si="48"/>
        <v>0</v>
      </c>
      <c r="Q163">
        <f t="shared" si="49"/>
        <v>0</v>
      </c>
      <c r="R163">
        <f t="shared" si="44"/>
        <v>0</v>
      </c>
      <c r="S163">
        <f t="shared" si="39"/>
        <v>0</v>
      </c>
      <c r="T163">
        <f t="shared" si="50"/>
        <v>0</v>
      </c>
      <c r="U163">
        <f t="shared" si="41"/>
        <v>0</v>
      </c>
      <c r="V163">
        <f t="shared" si="40"/>
        <v>0</v>
      </c>
      <c r="W163">
        <f t="shared" si="43"/>
        <v>0</v>
      </c>
      <c r="X163" t="s">
        <v>528</v>
      </c>
      <c r="Y163" t="s">
        <v>488</v>
      </c>
      <c r="Z163" s="3" t="s">
        <v>382</v>
      </c>
      <c r="AA163" t="s">
        <v>521</v>
      </c>
      <c r="AB163">
        <v>21.5</v>
      </c>
      <c r="AC163" s="8" t="s">
        <v>1071</v>
      </c>
      <c r="AD163" s="8"/>
      <c r="AE163" s="8">
        <v>175</v>
      </c>
      <c r="AF163" s="8"/>
      <c r="AG163" s="8" t="s">
        <v>1036</v>
      </c>
      <c r="AH163" s="8" t="s">
        <v>1032</v>
      </c>
      <c r="AI163" s="11">
        <v>0.26</v>
      </c>
      <c r="AJ163" s="11">
        <v>0</v>
      </c>
      <c r="AK163" s="11">
        <v>69.273860000000013</v>
      </c>
      <c r="AL163" s="11">
        <v>73.824201250778842</v>
      </c>
      <c r="AM163" s="11">
        <v>47.082299999999989</v>
      </c>
      <c r="AN163" s="8" t="s">
        <v>1032</v>
      </c>
      <c r="AO163" s="8" t="s">
        <v>1047</v>
      </c>
    </row>
    <row r="164" spans="1:41" x14ac:dyDescent="0.25">
      <c r="C164" t="s">
        <v>94</v>
      </c>
      <c r="D164" t="s">
        <v>12</v>
      </c>
      <c r="E164" t="s">
        <v>489</v>
      </c>
      <c r="F164">
        <v>4</v>
      </c>
      <c r="G164">
        <v>380</v>
      </c>
      <c r="H164">
        <v>688.9</v>
      </c>
      <c r="I164">
        <v>55.2</v>
      </c>
      <c r="L164">
        <f t="shared" si="45"/>
        <v>0</v>
      </c>
      <c r="M164">
        <f t="shared" si="42"/>
        <v>0</v>
      </c>
      <c r="N164">
        <f t="shared" si="46"/>
        <v>0</v>
      </c>
      <c r="O164">
        <f t="shared" si="47"/>
        <v>0</v>
      </c>
      <c r="P164">
        <f t="shared" si="48"/>
        <v>0</v>
      </c>
      <c r="Q164">
        <f t="shared" si="49"/>
        <v>0</v>
      </c>
      <c r="R164">
        <f t="shared" si="44"/>
        <v>0</v>
      </c>
      <c r="S164">
        <f t="shared" si="39"/>
        <v>0</v>
      </c>
      <c r="T164">
        <f t="shared" si="50"/>
        <v>0</v>
      </c>
      <c r="U164">
        <f t="shared" si="41"/>
        <v>0</v>
      </c>
      <c r="V164">
        <f t="shared" si="40"/>
        <v>0</v>
      </c>
      <c r="W164">
        <f t="shared" si="43"/>
        <v>0</v>
      </c>
      <c r="X164" t="s">
        <v>529</v>
      </c>
      <c r="Y164" t="s">
        <v>61</v>
      </c>
      <c r="Z164" s="3" t="s">
        <v>382</v>
      </c>
      <c r="AA164" t="s">
        <v>527</v>
      </c>
      <c r="AB164">
        <v>21.5</v>
      </c>
      <c r="AC164" s="8" t="s">
        <v>1071</v>
      </c>
      <c r="AD164" s="8"/>
      <c r="AE164" s="8">
        <v>175</v>
      </c>
      <c r="AF164" s="8"/>
      <c r="AG164" s="8" t="s">
        <v>1036</v>
      </c>
      <c r="AH164" s="8" t="s">
        <v>1032</v>
      </c>
      <c r="AI164" s="11">
        <v>0.26</v>
      </c>
      <c r="AJ164" s="11">
        <v>0</v>
      </c>
      <c r="AK164" s="11">
        <v>69.273860000000013</v>
      </c>
      <c r="AL164" s="11">
        <v>73.824201250778842</v>
      </c>
      <c r="AM164" s="11">
        <v>47.082299999999989</v>
      </c>
      <c r="AN164" s="8" t="s">
        <v>1032</v>
      </c>
      <c r="AO164" s="8" t="s">
        <v>1047</v>
      </c>
    </row>
    <row r="165" spans="1:41" x14ac:dyDescent="0.25">
      <c r="C165" t="s">
        <v>98</v>
      </c>
      <c r="D165" t="s">
        <v>12</v>
      </c>
      <c r="E165" t="s">
        <v>14</v>
      </c>
      <c r="F165">
        <v>2</v>
      </c>
      <c r="G165">
        <v>373.5</v>
      </c>
      <c r="H165">
        <v>705.5</v>
      </c>
      <c r="I165">
        <v>52.9</v>
      </c>
      <c r="K165" t="s">
        <v>180</v>
      </c>
      <c r="L165">
        <f t="shared" si="45"/>
        <v>1</v>
      </c>
      <c r="M165">
        <f t="shared" si="42"/>
        <v>0</v>
      </c>
      <c r="N165">
        <f t="shared" si="46"/>
        <v>0</v>
      </c>
      <c r="O165">
        <f t="shared" si="47"/>
        <v>0</v>
      </c>
      <c r="P165">
        <f t="shared" si="48"/>
        <v>0</v>
      </c>
      <c r="Q165">
        <f t="shared" si="49"/>
        <v>0</v>
      </c>
      <c r="R165">
        <f t="shared" si="44"/>
        <v>0</v>
      </c>
      <c r="S165">
        <f t="shared" si="39"/>
        <v>0</v>
      </c>
      <c r="T165">
        <f t="shared" si="50"/>
        <v>0</v>
      </c>
      <c r="U165">
        <f t="shared" si="41"/>
        <v>0</v>
      </c>
      <c r="V165">
        <f t="shared" si="40"/>
        <v>0</v>
      </c>
      <c r="W165">
        <f t="shared" si="43"/>
        <v>1</v>
      </c>
      <c r="X165" t="s">
        <v>530</v>
      </c>
      <c r="Y165" t="s">
        <v>492</v>
      </c>
      <c r="Z165" s="3" t="s">
        <v>97</v>
      </c>
      <c r="AA165" t="s">
        <v>519</v>
      </c>
      <c r="AB165">
        <v>21.5</v>
      </c>
      <c r="AC165" s="8" t="s">
        <v>1071</v>
      </c>
      <c r="AD165" s="8"/>
      <c r="AE165" s="8">
        <v>175</v>
      </c>
      <c r="AF165" s="8"/>
      <c r="AG165" s="8" t="s">
        <v>1036</v>
      </c>
      <c r="AH165" s="8" t="s">
        <v>1032</v>
      </c>
      <c r="AI165" s="11">
        <v>0.26</v>
      </c>
      <c r="AJ165" s="11">
        <v>0</v>
      </c>
      <c r="AK165" s="11">
        <v>69.273860000000013</v>
      </c>
      <c r="AL165" s="11">
        <v>73.824201250778842</v>
      </c>
      <c r="AM165" s="11">
        <v>47.082299999999989</v>
      </c>
      <c r="AN165" s="8" t="s">
        <v>1032</v>
      </c>
      <c r="AO165" s="8" t="s">
        <v>1047</v>
      </c>
    </row>
    <row r="166" spans="1:41" x14ac:dyDescent="0.25">
      <c r="C166" t="s">
        <v>102</v>
      </c>
      <c r="D166" t="s">
        <v>12</v>
      </c>
      <c r="E166" t="s">
        <v>14</v>
      </c>
      <c r="F166">
        <v>2</v>
      </c>
      <c r="G166">
        <v>350</v>
      </c>
      <c r="H166">
        <v>652.1</v>
      </c>
      <c r="I166">
        <v>53.7</v>
      </c>
      <c r="L166">
        <f t="shared" si="45"/>
        <v>0</v>
      </c>
      <c r="M166">
        <f t="shared" si="42"/>
        <v>0</v>
      </c>
      <c r="N166">
        <f t="shared" si="46"/>
        <v>0</v>
      </c>
      <c r="O166">
        <f t="shared" si="47"/>
        <v>0</v>
      </c>
      <c r="P166">
        <f t="shared" si="48"/>
        <v>0</v>
      </c>
      <c r="Q166">
        <f t="shared" si="49"/>
        <v>0</v>
      </c>
      <c r="R166">
        <f t="shared" si="44"/>
        <v>0</v>
      </c>
      <c r="S166">
        <f t="shared" si="39"/>
        <v>0</v>
      </c>
      <c r="T166">
        <f t="shared" si="50"/>
        <v>0</v>
      </c>
      <c r="U166">
        <f t="shared" si="41"/>
        <v>0</v>
      </c>
      <c r="V166">
        <f t="shared" si="40"/>
        <v>0</v>
      </c>
      <c r="W166">
        <f t="shared" si="43"/>
        <v>0</v>
      </c>
      <c r="X166" t="s">
        <v>531</v>
      </c>
      <c r="Y166" t="s">
        <v>492</v>
      </c>
      <c r="Z166" s="3" t="s">
        <v>386</v>
      </c>
      <c r="AA166" t="s">
        <v>527</v>
      </c>
      <c r="AB166">
        <v>21.5</v>
      </c>
      <c r="AC166" s="8" t="s">
        <v>1071</v>
      </c>
      <c r="AD166" s="8"/>
      <c r="AE166" s="8">
        <v>175</v>
      </c>
      <c r="AF166" s="8"/>
      <c r="AG166" s="8" t="s">
        <v>1036</v>
      </c>
      <c r="AH166" s="8" t="s">
        <v>1032</v>
      </c>
      <c r="AI166" s="11">
        <v>0.26</v>
      </c>
      <c r="AJ166" s="11">
        <v>0</v>
      </c>
      <c r="AK166" s="11">
        <v>69.273860000000013</v>
      </c>
      <c r="AL166" s="11">
        <v>73.824201250778842</v>
      </c>
      <c r="AM166" s="11">
        <v>47.082299999999989</v>
      </c>
      <c r="AN166" s="8" t="s">
        <v>1032</v>
      </c>
      <c r="AO166" s="8" t="s">
        <v>1047</v>
      </c>
    </row>
    <row r="167" spans="1:41" x14ac:dyDescent="0.25">
      <c r="C167" t="s">
        <v>107</v>
      </c>
      <c r="D167" t="s">
        <v>12</v>
      </c>
      <c r="E167" t="s">
        <v>489</v>
      </c>
      <c r="F167">
        <v>4</v>
      </c>
      <c r="G167">
        <v>384</v>
      </c>
      <c r="H167">
        <v>690</v>
      </c>
      <c r="I167">
        <v>55.7</v>
      </c>
      <c r="L167">
        <f t="shared" si="45"/>
        <v>0</v>
      </c>
      <c r="M167">
        <f t="shared" si="42"/>
        <v>0</v>
      </c>
      <c r="N167">
        <f t="shared" si="46"/>
        <v>0</v>
      </c>
      <c r="O167">
        <f t="shared" si="47"/>
        <v>0</v>
      </c>
      <c r="P167">
        <f t="shared" si="48"/>
        <v>0</v>
      </c>
      <c r="Q167">
        <f t="shared" si="49"/>
        <v>0</v>
      </c>
      <c r="R167">
        <f t="shared" si="44"/>
        <v>0</v>
      </c>
      <c r="S167">
        <f t="shared" si="39"/>
        <v>0</v>
      </c>
      <c r="T167">
        <f t="shared" si="50"/>
        <v>0</v>
      </c>
      <c r="U167">
        <f t="shared" si="41"/>
        <v>0</v>
      </c>
      <c r="V167">
        <f t="shared" si="40"/>
        <v>0</v>
      </c>
      <c r="W167">
        <f t="shared" si="43"/>
        <v>0</v>
      </c>
      <c r="X167" t="s">
        <v>532</v>
      </c>
      <c r="Y167" t="s">
        <v>494</v>
      </c>
      <c r="Z167" s="3" t="s">
        <v>70</v>
      </c>
      <c r="AA167" t="s">
        <v>533</v>
      </c>
      <c r="AB167">
        <v>21.5</v>
      </c>
      <c r="AC167" s="8" t="s">
        <v>1071</v>
      </c>
      <c r="AD167" s="8"/>
      <c r="AE167" s="8">
        <v>175</v>
      </c>
      <c r="AF167" s="8"/>
      <c r="AG167" s="8" t="s">
        <v>1036</v>
      </c>
      <c r="AH167" s="8" t="s">
        <v>1032</v>
      </c>
      <c r="AI167" s="11">
        <v>0.26</v>
      </c>
      <c r="AJ167" s="11">
        <v>0</v>
      </c>
      <c r="AK167" s="11">
        <v>69.273860000000013</v>
      </c>
      <c r="AL167" s="11">
        <v>73.824201250778842</v>
      </c>
      <c r="AM167" s="11">
        <v>47.082299999999989</v>
      </c>
      <c r="AN167" s="8" t="s">
        <v>1032</v>
      </c>
      <c r="AO167" s="8" t="s">
        <v>1047</v>
      </c>
    </row>
    <row r="168" spans="1:41" x14ac:dyDescent="0.25">
      <c r="C168" t="s">
        <v>111</v>
      </c>
      <c r="D168" t="s">
        <v>12</v>
      </c>
      <c r="E168" t="s">
        <v>14</v>
      </c>
      <c r="F168">
        <v>4</v>
      </c>
      <c r="G168">
        <v>361</v>
      </c>
      <c r="H168">
        <v>637.6</v>
      </c>
      <c r="I168">
        <v>56.6</v>
      </c>
      <c r="L168">
        <f t="shared" si="45"/>
        <v>0</v>
      </c>
      <c r="M168">
        <f t="shared" si="42"/>
        <v>0</v>
      </c>
      <c r="N168">
        <f t="shared" si="46"/>
        <v>0</v>
      </c>
      <c r="O168">
        <f t="shared" si="47"/>
        <v>0</v>
      </c>
      <c r="P168">
        <f t="shared" si="48"/>
        <v>0</v>
      </c>
      <c r="Q168">
        <f t="shared" si="49"/>
        <v>0</v>
      </c>
      <c r="R168">
        <f t="shared" si="44"/>
        <v>0</v>
      </c>
      <c r="S168">
        <f t="shared" si="39"/>
        <v>0</v>
      </c>
      <c r="T168">
        <f t="shared" si="50"/>
        <v>0</v>
      </c>
      <c r="U168">
        <f t="shared" si="41"/>
        <v>0</v>
      </c>
      <c r="V168">
        <f t="shared" si="40"/>
        <v>0</v>
      </c>
      <c r="W168">
        <f t="shared" si="43"/>
        <v>0</v>
      </c>
      <c r="X168" t="s">
        <v>534</v>
      </c>
      <c r="Y168" t="s">
        <v>64</v>
      </c>
      <c r="Z168" s="3" t="s">
        <v>70</v>
      </c>
      <c r="AA168" t="s">
        <v>533</v>
      </c>
      <c r="AB168">
        <v>21.5</v>
      </c>
      <c r="AC168" s="8" t="s">
        <v>1071</v>
      </c>
      <c r="AD168" s="8"/>
      <c r="AE168" s="8">
        <v>175</v>
      </c>
      <c r="AF168" s="8"/>
      <c r="AG168" s="8" t="s">
        <v>1036</v>
      </c>
      <c r="AH168" s="8" t="s">
        <v>1032</v>
      </c>
      <c r="AI168" s="11">
        <v>0.26</v>
      </c>
      <c r="AJ168" s="11">
        <v>0</v>
      </c>
      <c r="AK168" s="11">
        <v>69.273860000000013</v>
      </c>
      <c r="AL168" s="11">
        <v>73.824201250778842</v>
      </c>
      <c r="AM168" s="11">
        <v>47.082299999999989</v>
      </c>
      <c r="AN168" s="8" t="s">
        <v>1032</v>
      </c>
      <c r="AO168" s="8" t="s">
        <v>1047</v>
      </c>
    </row>
    <row r="169" spans="1:41" x14ac:dyDescent="0.25">
      <c r="C169" t="s">
        <v>115</v>
      </c>
      <c r="D169" t="s">
        <v>12</v>
      </c>
      <c r="E169" t="s">
        <v>14</v>
      </c>
      <c r="F169">
        <v>4</v>
      </c>
      <c r="G169">
        <v>317.5</v>
      </c>
      <c r="H169">
        <v>579.6</v>
      </c>
      <c r="I169">
        <v>54.8</v>
      </c>
      <c r="L169">
        <f t="shared" si="45"/>
        <v>0</v>
      </c>
      <c r="M169">
        <f t="shared" si="42"/>
        <v>0</v>
      </c>
      <c r="N169">
        <f t="shared" si="46"/>
        <v>0</v>
      </c>
      <c r="O169">
        <f t="shared" si="47"/>
        <v>0</v>
      </c>
      <c r="P169">
        <f t="shared" si="48"/>
        <v>0</v>
      </c>
      <c r="Q169">
        <f t="shared" si="49"/>
        <v>0</v>
      </c>
      <c r="R169">
        <f t="shared" si="44"/>
        <v>0</v>
      </c>
      <c r="S169">
        <f t="shared" si="39"/>
        <v>0</v>
      </c>
      <c r="T169">
        <f t="shared" si="50"/>
        <v>0</v>
      </c>
      <c r="U169">
        <f t="shared" si="41"/>
        <v>0</v>
      </c>
      <c r="V169">
        <f t="shared" si="40"/>
        <v>0</v>
      </c>
      <c r="W169">
        <f t="shared" si="43"/>
        <v>0</v>
      </c>
      <c r="X169" t="s">
        <v>535</v>
      </c>
      <c r="Y169" t="s">
        <v>69</v>
      </c>
      <c r="Z169" s="3" t="s">
        <v>70</v>
      </c>
      <c r="AA169" t="s">
        <v>521</v>
      </c>
      <c r="AB169">
        <v>21.5</v>
      </c>
      <c r="AC169" s="8" t="s">
        <v>1071</v>
      </c>
      <c r="AD169" s="8"/>
      <c r="AE169" s="8">
        <v>175</v>
      </c>
      <c r="AF169" s="8"/>
      <c r="AG169" s="8" t="s">
        <v>1036</v>
      </c>
      <c r="AH169" s="8" t="s">
        <v>1032</v>
      </c>
      <c r="AI169" s="11">
        <v>0.26</v>
      </c>
      <c r="AJ169" s="11">
        <v>0</v>
      </c>
      <c r="AK169" s="11">
        <v>69.273860000000013</v>
      </c>
      <c r="AL169" s="11">
        <v>73.824201250778842</v>
      </c>
      <c r="AM169" s="11">
        <v>47.082299999999989</v>
      </c>
      <c r="AN169" s="8" t="s">
        <v>1032</v>
      </c>
      <c r="AO169" s="8" t="s">
        <v>1047</v>
      </c>
    </row>
    <row r="170" spans="1:41" x14ac:dyDescent="0.25">
      <c r="C170" t="s">
        <v>120</v>
      </c>
      <c r="D170" t="s">
        <v>12</v>
      </c>
      <c r="E170" t="s">
        <v>14</v>
      </c>
      <c r="F170">
        <v>2</v>
      </c>
      <c r="G170">
        <v>354</v>
      </c>
      <c r="H170">
        <v>648.70000000000005</v>
      </c>
      <c r="I170">
        <v>54.6</v>
      </c>
      <c r="L170">
        <f t="shared" si="45"/>
        <v>0</v>
      </c>
      <c r="M170">
        <f t="shared" si="42"/>
        <v>0</v>
      </c>
      <c r="N170">
        <f t="shared" si="46"/>
        <v>0</v>
      </c>
      <c r="O170">
        <f t="shared" si="47"/>
        <v>0</v>
      </c>
      <c r="P170">
        <f t="shared" si="48"/>
        <v>0</v>
      </c>
      <c r="Q170">
        <f t="shared" si="49"/>
        <v>0</v>
      </c>
      <c r="R170">
        <f t="shared" si="44"/>
        <v>0</v>
      </c>
      <c r="S170">
        <f t="shared" si="39"/>
        <v>0</v>
      </c>
      <c r="T170">
        <f t="shared" si="50"/>
        <v>0</v>
      </c>
      <c r="U170">
        <f t="shared" si="41"/>
        <v>0</v>
      </c>
      <c r="V170">
        <f t="shared" si="40"/>
        <v>0</v>
      </c>
      <c r="W170">
        <f t="shared" si="43"/>
        <v>0</v>
      </c>
      <c r="X170" t="s">
        <v>536</v>
      </c>
      <c r="Y170" t="s">
        <v>537</v>
      </c>
      <c r="Z170" s="3" t="s">
        <v>79</v>
      </c>
      <c r="AA170" t="s">
        <v>521</v>
      </c>
      <c r="AB170">
        <v>21.5</v>
      </c>
      <c r="AC170" s="8" t="s">
        <v>1071</v>
      </c>
      <c r="AD170" s="8"/>
      <c r="AE170" s="8">
        <v>175</v>
      </c>
      <c r="AF170" s="8"/>
      <c r="AG170" s="8" t="s">
        <v>1036</v>
      </c>
      <c r="AH170" s="8" t="s">
        <v>1032</v>
      </c>
      <c r="AI170" s="11">
        <v>0.26</v>
      </c>
      <c r="AJ170" s="11">
        <v>0</v>
      </c>
      <c r="AK170" s="11">
        <v>69.273860000000013</v>
      </c>
      <c r="AL170" s="11">
        <v>73.824201250778842</v>
      </c>
      <c r="AM170" s="11">
        <v>47.082299999999989</v>
      </c>
      <c r="AN170" s="8" t="s">
        <v>1032</v>
      </c>
      <c r="AO170" s="8" t="s">
        <v>1047</v>
      </c>
    </row>
    <row r="171" spans="1:41" x14ac:dyDescent="0.25">
      <c r="C171" t="s">
        <v>124</v>
      </c>
      <c r="D171" t="s">
        <v>12</v>
      </c>
      <c r="E171" t="s">
        <v>489</v>
      </c>
      <c r="F171">
        <v>2</v>
      </c>
      <c r="G171">
        <v>385.5</v>
      </c>
      <c r="H171">
        <v>690.6</v>
      </c>
      <c r="I171">
        <v>55.8</v>
      </c>
      <c r="L171">
        <f t="shared" si="45"/>
        <v>0</v>
      </c>
      <c r="M171">
        <f t="shared" si="42"/>
        <v>0</v>
      </c>
      <c r="N171">
        <f t="shared" si="46"/>
        <v>0</v>
      </c>
      <c r="O171">
        <f t="shared" si="47"/>
        <v>0</v>
      </c>
      <c r="P171">
        <f t="shared" si="48"/>
        <v>0</v>
      </c>
      <c r="Q171">
        <f t="shared" si="49"/>
        <v>0</v>
      </c>
      <c r="R171">
        <f t="shared" si="44"/>
        <v>0</v>
      </c>
      <c r="S171">
        <f t="shared" si="39"/>
        <v>0</v>
      </c>
      <c r="T171">
        <f t="shared" si="50"/>
        <v>0</v>
      </c>
      <c r="U171">
        <f t="shared" si="41"/>
        <v>0</v>
      </c>
      <c r="V171">
        <f t="shared" si="40"/>
        <v>0</v>
      </c>
      <c r="W171">
        <f t="shared" si="43"/>
        <v>0</v>
      </c>
      <c r="X171" t="s">
        <v>538</v>
      </c>
      <c r="Y171" t="s">
        <v>83</v>
      </c>
      <c r="Z171" s="3" t="s">
        <v>403</v>
      </c>
      <c r="AA171" t="s">
        <v>519</v>
      </c>
      <c r="AB171">
        <v>21.5</v>
      </c>
      <c r="AC171" s="8" t="s">
        <v>1071</v>
      </c>
      <c r="AD171" s="8"/>
      <c r="AE171" s="8">
        <v>175</v>
      </c>
      <c r="AF171" s="8"/>
      <c r="AG171" s="8" t="s">
        <v>1036</v>
      </c>
      <c r="AH171" s="8" t="s">
        <v>1032</v>
      </c>
      <c r="AI171" s="11">
        <v>0.26</v>
      </c>
      <c r="AJ171" s="11">
        <v>0</v>
      </c>
      <c r="AK171" s="11">
        <v>69.273860000000013</v>
      </c>
      <c r="AL171" s="11">
        <v>73.824201250778842</v>
      </c>
      <c r="AM171" s="11">
        <v>47.082299999999989</v>
      </c>
      <c r="AN171" s="8" t="s">
        <v>1032</v>
      </c>
      <c r="AO171" s="8" t="s">
        <v>1047</v>
      </c>
    </row>
    <row r="172" spans="1:41" x14ac:dyDescent="0.25">
      <c r="C172" t="s">
        <v>128</v>
      </c>
      <c r="D172" t="s">
        <v>12</v>
      </c>
      <c r="E172" t="s">
        <v>14</v>
      </c>
      <c r="F172">
        <v>4</v>
      </c>
      <c r="G172">
        <v>339.5</v>
      </c>
      <c r="H172">
        <v>652</v>
      </c>
      <c r="I172">
        <v>52.1</v>
      </c>
      <c r="L172">
        <f t="shared" si="45"/>
        <v>0</v>
      </c>
      <c r="M172">
        <f t="shared" si="42"/>
        <v>0</v>
      </c>
      <c r="N172">
        <f t="shared" si="46"/>
        <v>0</v>
      </c>
      <c r="O172">
        <f t="shared" si="47"/>
        <v>0</v>
      </c>
      <c r="P172">
        <f t="shared" si="48"/>
        <v>0</v>
      </c>
      <c r="Q172">
        <f t="shared" si="49"/>
        <v>0</v>
      </c>
      <c r="R172">
        <f t="shared" si="44"/>
        <v>0</v>
      </c>
      <c r="S172">
        <f t="shared" ref="S172:S235" si="51">IF(K172="Contaminated", 1, 0)</f>
        <v>0</v>
      </c>
      <c r="T172">
        <f t="shared" si="50"/>
        <v>0</v>
      </c>
      <c r="U172">
        <f t="shared" si="41"/>
        <v>0</v>
      </c>
      <c r="V172">
        <f t="shared" si="40"/>
        <v>0</v>
      </c>
      <c r="W172">
        <f t="shared" si="43"/>
        <v>0</v>
      </c>
      <c r="X172" t="s">
        <v>539</v>
      </c>
      <c r="Y172" t="s">
        <v>88</v>
      </c>
      <c r="Z172" s="3" t="s">
        <v>403</v>
      </c>
      <c r="AA172" t="s">
        <v>521</v>
      </c>
      <c r="AB172">
        <v>21.5</v>
      </c>
      <c r="AC172" s="8" t="s">
        <v>1071</v>
      </c>
      <c r="AD172" s="8"/>
      <c r="AE172" s="8">
        <v>175</v>
      </c>
      <c r="AF172" s="8"/>
      <c r="AG172" s="8" t="s">
        <v>1036</v>
      </c>
      <c r="AH172" s="8" t="s">
        <v>1032</v>
      </c>
      <c r="AI172" s="11">
        <v>0.26</v>
      </c>
      <c r="AJ172" s="11">
        <v>0</v>
      </c>
      <c r="AK172" s="11">
        <v>69.273860000000013</v>
      </c>
      <c r="AL172" s="11">
        <v>73.824201250778842</v>
      </c>
      <c r="AM172" s="11">
        <v>47.082299999999989</v>
      </c>
      <c r="AN172" s="8" t="s">
        <v>1032</v>
      </c>
      <c r="AO172" s="8" t="s">
        <v>1047</v>
      </c>
    </row>
    <row r="173" spans="1:41" x14ac:dyDescent="0.25">
      <c r="C173" t="s">
        <v>131</v>
      </c>
      <c r="D173" t="s">
        <v>12</v>
      </c>
      <c r="E173" t="s">
        <v>14</v>
      </c>
      <c r="F173">
        <v>4</v>
      </c>
      <c r="G173">
        <v>345</v>
      </c>
      <c r="H173">
        <v>630.9</v>
      </c>
      <c r="I173">
        <v>54.7</v>
      </c>
      <c r="L173">
        <f t="shared" si="45"/>
        <v>0</v>
      </c>
      <c r="M173">
        <f t="shared" si="42"/>
        <v>0</v>
      </c>
      <c r="N173">
        <f t="shared" si="46"/>
        <v>0</v>
      </c>
      <c r="O173">
        <f t="shared" si="47"/>
        <v>0</v>
      </c>
      <c r="P173">
        <f t="shared" si="48"/>
        <v>0</v>
      </c>
      <c r="Q173">
        <f t="shared" si="49"/>
        <v>0</v>
      </c>
      <c r="R173">
        <f t="shared" si="44"/>
        <v>0</v>
      </c>
      <c r="S173">
        <f t="shared" si="51"/>
        <v>0</v>
      </c>
      <c r="T173">
        <f t="shared" si="50"/>
        <v>0</v>
      </c>
      <c r="U173">
        <f t="shared" si="41"/>
        <v>0</v>
      </c>
      <c r="V173">
        <f t="shared" si="40"/>
        <v>0</v>
      </c>
      <c r="W173">
        <f t="shared" si="43"/>
        <v>0</v>
      </c>
      <c r="X173" t="s">
        <v>540</v>
      </c>
      <c r="Y173" t="s">
        <v>92</v>
      </c>
      <c r="Z173" s="3" t="s">
        <v>410</v>
      </c>
      <c r="AA173" t="s">
        <v>533</v>
      </c>
      <c r="AB173">
        <v>21.5</v>
      </c>
      <c r="AC173" s="8" t="s">
        <v>1071</v>
      </c>
      <c r="AD173" s="8"/>
      <c r="AE173" s="8">
        <v>175</v>
      </c>
      <c r="AF173" s="8"/>
      <c r="AG173" s="8" t="s">
        <v>1036</v>
      </c>
      <c r="AH173" s="8" t="s">
        <v>1032</v>
      </c>
      <c r="AI173" s="11">
        <v>0.26</v>
      </c>
      <c r="AJ173" s="11">
        <v>0</v>
      </c>
      <c r="AK173" s="11">
        <v>69.273860000000013</v>
      </c>
      <c r="AL173" s="11">
        <v>73.824201250778842</v>
      </c>
      <c r="AM173" s="11">
        <v>47.082299999999989</v>
      </c>
      <c r="AN173" s="8" t="s">
        <v>1032</v>
      </c>
      <c r="AO173" s="8" t="s">
        <v>1047</v>
      </c>
    </row>
    <row r="174" spans="1:41" x14ac:dyDescent="0.25">
      <c r="C174" t="s">
        <v>135</v>
      </c>
      <c r="D174" t="s">
        <v>12</v>
      </c>
      <c r="E174" t="s">
        <v>14</v>
      </c>
      <c r="F174">
        <v>4</v>
      </c>
      <c r="G174">
        <v>367.5</v>
      </c>
      <c r="H174">
        <v>690.8</v>
      </c>
      <c r="I174">
        <v>53.2</v>
      </c>
      <c r="K174" t="s">
        <v>86</v>
      </c>
      <c r="L174">
        <f t="shared" si="45"/>
        <v>1</v>
      </c>
      <c r="M174">
        <f t="shared" si="42"/>
        <v>0</v>
      </c>
      <c r="N174">
        <f t="shared" si="46"/>
        <v>0</v>
      </c>
      <c r="O174">
        <f t="shared" si="47"/>
        <v>1</v>
      </c>
      <c r="P174">
        <f t="shared" si="48"/>
        <v>0</v>
      </c>
      <c r="Q174">
        <f t="shared" si="49"/>
        <v>0</v>
      </c>
      <c r="R174">
        <f t="shared" si="44"/>
        <v>0</v>
      </c>
      <c r="S174">
        <f t="shared" si="51"/>
        <v>0</v>
      </c>
      <c r="T174">
        <f t="shared" si="50"/>
        <v>0</v>
      </c>
      <c r="U174">
        <f t="shared" si="41"/>
        <v>0</v>
      </c>
      <c r="V174">
        <f t="shared" si="40"/>
        <v>0</v>
      </c>
      <c r="W174">
        <f t="shared" si="43"/>
        <v>0</v>
      </c>
      <c r="X174" t="s">
        <v>541</v>
      </c>
      <c r="Y174" t="s">
        <v>96</v>
      </c>
      <c r="Z174" s="3" t="s">
        <v>89</v>
      </c>
      <c r="AA174" t="s">
        <v>533</v>
      </c>
      <c r="AB174">
        <v>21.5</v>
      </c>
      <c r="AC174" s="8" t="s">
        <v>1071</v>
      </c>
      <c r="AD174" s="8"/>
      <c r="AE174" s="8">
        <v>175</v>
      </c>
      <c r="AF174" s="8"/>
      <c r="AG174" s="8" t="s">
        <v>1036</v>
      </c>
      <c r="AH174" s="8" t="s">
        <v>1032</v>
      </c>
      <c r="AI174" s="11">
        <v>0.26</v>
      </c>
      <c r="AJ174" s="11">
        <v>0</v>
      </c>
      <c r="AK174" s="11">
        <v>69.273860000000013</v>
      </c>
      <c r="AL174" s="11">
        <v>73.824201250778842</v>
      </c>
      <c r="AM174" s="11">
        <v>47.082299999999989</v>
      </c>
      <c r="AN174" s="8" t="s">
        <v>1032</v>
      </c>
      <c r="AO174" s="8" t="s">
        <v>1047</v>
      </c>
    </row>
    <row r="175" spans="1:41" x14ac:dyDescent="0.25">
      <c r="C175" t="s">
        <v>139</v>
      </c>
      <c r="D175" t="s">
        <v>12</v>
      </c>
      <c r="E175" t="s">
        <v>14</v>
      </c>
      <c r="F175">
        <v>4</v>
      </c>
      <c r="G175">
        <v>379</v>
      </c>
      <c r="H175">
        <v>699.5</v>
      </c>
      <c r="I175">
        <v>54.2</v>
      </c>
      <c r="K175" t="s">
        <v>86</v>
      </c>
      <c r="L175">
        <f t="shared" si="45"/>
        <v>1</v>
      </c>
      <c r="M175">
        <f t="shared" si="42"/>
        <v>0</v>
      </c>
      <c r="N175">
        <f t="shared" si="46"/>
        <v>0</v>
      </c>
      <c r="O175">
        <f t="shared" si="47"/>
        <v>1</v>
      </c>
      <c r="P175">
        <f t="shared" si="48"/>
        <v>0</v>
      </c>
      <c r="Q175">
        <f t="shared" si="49"/>
        <v>0</v>
      </c>
      <c r="R175">
        <f t="shared" si="44"/>
        <v>0</v>
      </c>
      <c r="S175">
        <f t="shared" si="51"/>
        <v>0</v>
      </c>
      <c r="T175">
        <f t="shared" si="50"/>
        <v>0</v>
      </c>
      <c r="U175">
        <f t="shared" si="41"/>
        <v>0</v>
      </c>
      <c r="V175">
        <f t="shared" si="40"/>
        <v>0</v>
      </c>
      <c r="W175">
        <f t="shared" si="43"/>
        <v>0</v>
      </c>
      <c r="X175" t="s">
        <v>542</v>
      </c>
      <c r="Y175" t="s">
        <v>100</v>
      </c>
      <c r="Z175" s="3" t="s">
        <v>138</v>
      </c>
      <c r="AA175" t="s">
        <v>521</v>
      </c>
      <c r="AB175">
        <v>21.5</v>
      </c>
      <c r="AC175" s="8" t="s">
        <v>1071</v>
      </c>
      <c r="AD175" s="8"/>
      <c r="AE175" s="8">
        <v>175</v>
      </c>
      <c r="AF175" s="8"/>
      <c r="AG175" s="8" t="s">
        <v>1036</v>
      </c>
      <c r="AH175" s="8" t="s">
        <v>1032</v>
      </c>
      <c r="AI175" s="11">
        <v>0.26</v>
      </c>
      <c r="AJ175" s="11">
        <v>0</v>
      </c>
      <c r="AK175" s="11">
        <v>69.273860000000013</v>
      </c>
      <c r="AL175" s="11">
        <v>73.824201250778842</v>
      </c>
      <c r="AM175" s="11">
        <v>47.082299999999989</v>
      </c>
      <c r="AN175" s="8" t="s">
        <v>1032</v>
      </c>
      <c r="AO175" s="8" t="s">
        <v>1047</v>
      </c>
    </row>
    <row r="176" spans="1:41" x14ac:dyDescent="0.25">
      <c r="A176" s="2"/>
      <c r="B176" s="2"/>
      <c r="C176" s="2" t="s">
        <v>142</v>
      </c>
      <c r="D176" s="2" t="s">
        <v>12</v>
      </c>
      <c r="E176" s="2" t="s">
        <v>14</v>
      </c>
      <c r="F176" s="2">
        <v>2</v>
      </c>
      <c r="G176" s="2">
        <v>393.5</v>
      </c>
      <c r="H176" s="2">
        <v>699.2</v>
      </c>
      <c r="I176" s="2">
        <v>56.3</v>
      </c>
      <c r="J176" s="2"/>
      <c r="K176" s="2"/>
      <c r="L176" s="2">
        <f t="shared" si="45"/>
        <v>0</v>
      </c>
      <c r="M176" s="2">
        <f t="shared" si="42"/>
        <v>0</v>
      </c>
      <c r="N176" s="2">
        <f t="shared" si="46"/>
        <v>0</v>
      </c>
      <c r="O176" s="2">
        <f t="shared" si="47"/>
        <v>0</v>
      </c>
      <c r="P176" s="2">
        <f t="shared" si="48"/>
        <v>0</v>
      </c>
      <c r="Q176" s="2">
        <f t="shared" si="49"/>
        <v>0</v>
      </c>
      <c r="R176" s="2">
        <f t="shared" si="44"/>
        <v>0</v>
      </c>
      <c r="S176" s="2">
        <f t="shared" si="51"/>
        <v>0</v>
      </c>
      <c r="T176" s="2">
        <f t="shared" si="50"/>
        <v>0</v>
      </c>
      <c r="U176" s="2">
        <f t="shared" si="41"/>
        <v>0</v>
      </c>
      <c r="V176" s="2">
        <f t="shared" si="40"/>
        <v>0</v>
      </c>
      <c r="W176" s="2">
        <f t="shared" si="43"/>
        <v>0</v>
      </c>
      <c r="X176" s="2" t="s">
        <v>543</v>
      </c>
      <c r="Y176" s="2" t="s">
        <v>104</v>
      </c>
      <c r="Z176" s="6" t="s">
        <v>119</v>
      </c>
      <c r="AA176" s="2" t="s">
        <v>519</v>
      </c>
      <c r="AB176" s="2">
        <v>21.5</v>
      </c>
      <c r="AC176" s="9" t="s">
        <v>1071</v>
      </c>
      <c r="AD176" s="9"/>
      <c r="AE176" s="9">
        <v>175</v>
      </c>
      <c r="AF176" s="9"/>
      <c r="AG176" s="9" t="s">
        <v>1036</v>
      </c>
      <c r="AH176" s="9" t="s">
        <v>1032</v>
      </c>
      <c r="AI176" s="19">
        <v>0.26</v>
      </c>
      <c r="AJ176" s="19">
        <v>0</v>
      </c>
      <c r="AK176" s="19">
        <v>69.273860000000013</v>
      </c>
      <c r="AL176" s="19">
        <v>73.824201250778842</v>
      </c>
      <c r="AM176" s="19">
        <v>47.082299999999989</v>
      </c>
      <c r="AN176" s="9" t="s">
        <v>1032</v>
      </c>
      <c r="AO176" s="9" t="s">
        <v>1047</v>
      </c>
    </row>
    <row r="177" spans="1:41" ht="15.75" x14ac:dyDescent="0.25">
      <c r="A177" s="7">
        <v>44606</v>
      </c>
      <c r="B177" t="s">
        <v>544</v>
      </c>
      <c r="C177" t="s">
        <v>545</v>
      </c>
      <c r="D177" t="s">
        <v>12</v>
      </c>
      <c r="E177" t="s">
        <v>14</v>
      </c>
      <c r="F177">
        <v>2</v>
      </c>
      <c r="G177">
        <v>307.5</v>
      </c>
      <c r="H177">
        <v>646.9</v>
      </c>
      <c r="I177">
        <v>47.5</v>
      </c>
      <c r="L177">
        <f t="shared" si="45"/>
        <v>0</v>
      </c>
      <c r="M177">
        <f t="shared" si="42"/>
        <v>0</v>
      </c>
      <c r="N177">
        <f t="shared" si="46"/>
        <v>0</v>
      </c>
      <c r="O177">
        <f t="shared" si="47"/>
        <v>0</v>
      </c>
      <c r="P177">
        <f t="shared" si="48"/>
        <v>0</v>
      </c>
      <c r="Q177">
        <f t="shared" si="49"/>
        <v>0</v>
      </c>
      <c r="R177">
        <f t="shared" si="44"/>
        <v>0</v>
      </c>
      <c r="S177">
        <f t="shared" si="51"/>
        <v>0</v>
      </c>
      <c r="T177">
        <f t="shared" si="50"/>
        <v>0</v>
      </c>
      <c r="U177">
        <f t="shared" si="41"/>
        <v>0</v>
      </c>
      <c r="V177">
        <f t="shared" si="40"/>
        <v>0</v>
      </c>
      <c r="W177">
        <f t="shared" si="43"/>
        <v>0</v>
      </c>
      <c r="X177" t="s">
        <v>546</v>
      </c>
      <c r="Y177" t="s">
        <v>134</v>
      </c>
      <c r="Z177" s="3" t="s">
        <v>547</v>
      </c>
      <c r="AB177">
        <f>(24-18)+13.75</f>
        <v>19.75</v>
      </c>
      <c r="AC177" s="8" t="s">
        <v>1036</v>
      </c>
      <c r="AD177" s="8"/>
      <c r="AE177" s="8">
        <v>172</v>
      </c>
      <c r="AF177" s="8"/>
      <c r="AG177" s="8" t="s">
        <v>1036</v>
      </c>
      <c r="AH177" s="8" t="s">
        <v>1032</v>
      </c>
      <c r="AI177" s="11">
        <v>0.69</v>
      </c>
      <c r="AJ177" s="11">
        <v>1.2</v>
      </c>
      <c r="AK177" s="11">
        <v>64.367449999999991</v>
      </c>
      <c r="AL177" s="11">
        <v>54.304676966585319</v>
      </c>
      <c r="AM177" s="11">
        <v>33.181100000000008</v>
      </c>
      <c r="AN177" s="8" t="s">
        <v>1032</v>
      </c>
      <c r="AO177" s="8" t="s">
        <v>1032</v>
      </c>
    </row>
    <row r="178" spans="1:41" x14ac:dyDescent="0.25">
      <c r="C178" t="s">
        <v>548</v>
      </c>
      <c r="D178" t="s">
        <v>12</v>
      </c>
      <c r="E178" t="s">
        <v>14</v>
      </c>
      <c r="F178">
        <v>2</v>
      </c>
      <c r="G178">
        <v>326</v>
      </c>
      <c r="H178">
        <v>623.9</v>
      </c>
      <c r="I178">
        <v>52.3</v>
      </c>
      <c r="K178" t="s">
        <v>549</v>
      </c>
      <c r="L178">
        <f t="shared" si="45"/>
        <v>1</v>
      </c>
      <c r="M178">
        <f t="shared" si="42"/>
        <v>0</v>
      </c>
      <c r="N178">
        <f t="shared" si="46"/>
        <v>0</v>
      </c>
      <c r="O178">
        <f t="shared" si="47"/>
        <v>0</v>
      </c>
      <c r="P178">
        <f t="shared" si="48"/>
        <v>0</v>
      </c>
      <c r="Q178">
        <f t="shared" si="49"/>
        <v>0</v>
      </c>
      <c r="R178">
        <f t="shared" si="44"/>
        <v>0</v>
      </c>
      <c r="S178">
        <v>1</v>
      </c>
      <c r="T178">
        <f t="shared" si="50"/>
        <v>0</v>
      </c>
      <c r="U178">
        <f t="shared" si="41"/>
        <v>0</v>
      </c>
      <c r="V178">
        <f t="shared" si="40"/>
        <v>0</v>
      </c>
      <c r="W178">
        <f t="shared" si="43"/>
        <v>0</v>
      </c>
      <c r="X178" t="s">
        <v>550</v>
      </c>
      <c r="Y178" t="s">
        <v>138</v>
      </c>
      <c r="Z178" s="3" t="s">
        <v>547</v>
      </c>
      <c r="AA178" t="s">
        <v>551</v>
      </c>
      <c r="AB178">
        <f>(24-18)+13.75</f>
        <v>19.75</v>
      </c>
      <c r="AC178" s="8" t="s">
        <v>1036</v>
      </c>
      <c r="AD178" s="8"/>
      <c r="AE178" s="8">
        <v>172</v>
      </c>
      <c r="AF178" s="8"/>
      <c r="AG178" s="8" t="s">
        <v>1036</v>
      </c>
      <c r="AH178" s="8" t="s">
        <v>1032</v>
      </c>
      <c r="AI178" s="11">
        <v>0.69</v>
      </c>
      <c r="AJ178" s="11">
        <v>1.2</v>
      </c>
      <c r="AK178" s="11">
        <v>64.367449999999991</v>
      </c>
      <c r="AL178" s="11">
        <v>54.304676966585319</v>
      </c>
      <c r="AM178" s="11">
        <v>33.181100000000008</v>
      </c>
      <c r="AN178" s="8" t="s">
        <v>1032</v>
      </c>
      <c r="AO178" s="8" t="s">
        <v>1032</v>
      </c>
    </row>
    <row r="179" spans="1:41" x14ac:dyDescent="0.25">
      <c r="C179" t="s">
        <v>552</v>
      </c>
      <c r="D179" t="s">
        <v>12</v>
      </c>
      <c r="E179" t="s">
        <v>14</v>
      </c>
      <c r="F179">
        <v>4</v>
      </c>
      <c r="G179">
        <v>344</v>
      </c>
      <c r="H179">
        <v>663.6</v>
      </c>
      <c r="I179">
        <v>51.8</v>
      </c>
      <c r="L179">
        <f t="shared" si="45"/>
        <v>0</v>
      </c>
      <c r="M179">
        <f t="shared" si="42"/>
        <v>0</v>
      </c>
      <c r="N179">
        <f t="shared" si="46"/>
        <v>0</v>
      </c>
      <c r="O179">
        <f t="shared" si="47"/>
        <v>0</v>
      </c>
      <c r="P179">
        <f t="shared" si="48"/>
        <v>0</v>
      </c>
      <c r="Q179">
        <f t="shared" si="49"/>
        <v>0</v>
      </c>
      <c r="R179">
        <f t="shared" si="44"/>
        <v>0</v>
      </c>
      <c r="S179">
        <f t="shared" si="51"/>
        <v>0</v>
      </c>
      <c r="T179">
        <f t="shared" si="50"/>
        <v>0</v>
      </c>
      <c r="U179">
        <f t="shared" si="41"/>
        <v>0</v>
      </c>
      <c r="V179">
        <f t="shared" si="40"/>
        <v>0</v>
      </c>
      <c r="W179">
        <f t="shared" si="43"/>
        <v>0</v>
      </c>
      <c r="X179" t="s">
        <v>553</v>
      </c>
      <c r="Y179" t="s">
        <v>498</v>
      </c>
      <c r="Z179" s="3" t="s">
        <v>547</v>
      </c>
      <c r="AA179" t="s">
        <v>554</v>
      </c>
      <c r="AB179">
        <f t="shared" ref="AB179:AB194" si="52">(24-18)+13.75</f>
        <v>19.75</v>
      </c>
      <c r="AC179" s="8" t="s">
        <v>1036</v>
      </c>
      <c r="AD179" s="8"/>
      <c r="AE179" s="8">
        <v>172</v>
      </c>
      <c r="AF179" s="8"/>
      <c r="AG179" s="8" t="s">
        <v>1036</v>
      </c>
      <c r="AH179" s="8" t="s">
        <v>1032</v>
      </c>
      <c r="AI179" s="11">
        <v>0.69</v>
      </c>
      <c r="AJ179" s="11">
        <v>1.2</v>
      </c>
      <c r="AK179" s="11">
        <v>64.367449999999991</v>
      </c>
      <c r="AL179" s="11">
        <v>54.304676966585319</v>
      </c>
      <c r="AM179" s="11">
        <v>33.181100000000008</v>
      </c>
      <c r="AN179" s="8" t="s">
        <v>1032</v>
      </c>
      <c r="AO179" s="8" t="s">
        <v>1032</v>
      </c>
    </row>
    <row r="180" spans="1:41" x14ac:dyDescent="0.25">
      <c r="C180" t="s">
        <v>555</v>
      </c>
      <c r="D180" t="s">
        <v>12</v>
      </c>
      <c r="E180" t="s">
        <v>14</v>
      </c>
      <c r="F180">
        <v>2</v>
      </c>
      <c r="G180">
        <v>327.5</v>
      </c>
      <c r="H180">
        <v>617.20000000000005</v>
      </c>
      <c r="I180">
        <v>53.1</v>
      </c>
      <c r="L180">
        <f t="shared" si="45"/>
        <v>0</v>
      </c>
      <c r="M180">
        <f t="shared" si="42"/>
        <v>0</v>
      </c>
      <c r="N180">
        <f t="shared" si="46"/>
        <v>0</v>
      </c>
      <c r="O180">
        <f t="shared" si="47"/>
        <v>0</v>
      </c>
      <c r="P180">
        <f t="shared" si="48"/>
        <v>0</v>
      </c>
      <c r="Q180">
        <f t="shared" si="49"/>
        <v>0</v>
      </c>
      <c r="R180">
        <f t="shared" si="44"/>
        <v>0</v>
      </c>
      <c r="S180">
        <f t="shared" si="51"/>
        <v>0</v>
      </c>
      <c r="T180">
        <f t="shared" si="50"/>
        <v>0</v>
      </c>
      <c r="U180">
        <f t="shared" si="41"/>
        <v>0</v>
      </c>
      <c r="V180">
        <f t="shared" si="40"/>
        <v>0</v>
      </c>
      <c r="W180">
        <f t="shared" si="43"/>
        <v>0</v>
      </c>
      <c r="X180" t="s">
        <v>556</v>
      </c>
      <c r="Y180" t="s">
        <v>498</v>
      </c>
      <c r="Z180" s="3" t="s">
        <v>557</v>
      </c>
      <c r="AA180" t="s">
        <v>558</v>
      </c>
      <c r="AB180">
        <f t="shared" si="52"/>
        <v>19.75</v>
      </c>
      <c r="AC180" s="8" t="s">
        <v>1036</v>
      </c>
      <c r="AD180" s="8"/>
      <c r="AE180" s="8">
        <v>172</v>
      </c>
      <c r="AF180" s="8"/>
      <c r="AG180" s="8" t="s">
        <v>1036</v>
      </c>
      <c r="AH180" s="8" t="s">
        <v>1032</v>
      </c>
      <c r="AI180" s="11">
        <v>0.69</v>
      </c>
      <c r="AJ180" s="11">
        <v>1.2</v>
      </c>
      <c r="AK180" s="11">
        <v>64.367449999999991</v>
      </c>
      <c r="AL180" s="11">
        <v>54.304676966585319</v>
      </c>
      <c r="AM180" s="11">
        <v>33.181100000000008</v>
      </c>
      <c r="AN180" s="8" t="s">
        <v>1032</v>
      </c>
      <c r="AO180" s="8" t="s">
        <v>1032</v>
      </c>
    </row>
    <row r="181" spans="1:41" x14ac:dyDescent="0.25">
      <c r="C181" t="s">
        <v>559</v>
      </c>
      <c r="D181" t="s">
        <v>12</v>
      </c>
      <c r="E181" t="s">
        <v>14</v>
      </c>
      <c r="F181">
        <v>4</v>
      </c>
      <c r="G181">
        <v>331.5</v>
      </c>
      <c r="H181">
        <v>644.79999999999995</v>
      </c>
      <c r="I181">
        <v>51.4</v>
      </c>
      <c r="L181">
        <f t="shared" si="45"/>
        <v>0</v>
      </c>
      <c r="M181">
        <f t="shared" si="42"/>
        <v>0</v>
      </c>
      <c r="N181">
        <f t="shared" si="46"/>
        <v>0</v>
      </c>
      <c r="O181">
        <f t="shared" si="47"/>
        <v>0</v>
      </c>
      <c r="P181">
        <f t="shared" si="48"/>
        <v>0</v>
      </c>
      <c r="Q181">
        <f t="shared" si="49"/>
        <v>0</v>
      </c>
      <c r="R181">
        <f t="shared" si="44"/>
        <v>0</v>
      </c>
      <c r="S181">
        <f t="shared" si="51"/>
        <v>0</v>
      </c>
      <c r="T181">
        <f t="shared" si="50"/>
        <v>0</v>
      </c>
      <c r="U181">
        <f t="shared" si="41"/>
        <v>0</v>
      </c>
      <c r="V181">
        <f t="shared" si="40"/>
        <v>0</v>
      </c>
      <c r="W181">
        <f t="shared" si="43"/>
        <v>0</v>
      </c>
      <c r="X181" t="s">
        <v>560</v>
      </c>
      <c r="Y181" t="s">
        <v>171</v>
      </c>
      <c r="Z181" s="3" t="s">
        <v>557</v>
      </c>
      <c r="AA181" t="s">
        <v>561</v>
      </c>
      <c r="AB181">
        <f t="shared" si="52"/>
        <v>19.75</v>
      </c>
      <c r="AC181" s="8" t="s">
        <v>1036</v>
      </c>
      <c r="AD181" s="8"/>
      <c r="AE181" s="8">
        <v>172</v>
      </c>
      <c r="AF181" s="8"/>
      <c r="AG181" s="8" t="s">
        <v>1036</v>
      </c>
      <c r="AH181" s="8" t="s">
        <v>1032</v>
      </c>
      <c r="AI181" s="11">
        <v>0.69</v>
      </c>
      <c r="AJ181" s="11">
        <v>1.2</v>
      </c>
      <c r="AK181" s="11">
        <v>64.367449999999991</v>
      </c>
      <c r="AL181" s="11">
        <v>54.304676966585319</v>
      </c>
      <c r="AM181" s="11">
        <v>33.181100000000008</v>
      </c>
      <c r="AN181" s="8" t="s">
        <v>1032</v>
      </c>
      <c r="AO181" s="8" t="s">
        <v>1032</v>
      </c>
    </row>
    <row r="182" spans="1:41" x14ac:dyDescent="0.25">
      <c r="C182" t="s">
        <v>562</v>
      </c>
      <c r="D182" t="s">
        <v>12</v>
      </c>
      <c r="E182" t="s">
        <v>14</v>
      </c>
      <c r="F182">
        <v>4</v>
      </c>
      <c r="G182">
        <v>298</v>
      </c>
      <c r="H182">
        <v>562.4</v>
      </c>
      <c r="I182">
        <v>53</v>
      </c>
      <c r="L182">
        <f t="shared" si="45"/>
        <v>0</v>
      </c>
      <c r="M182">
        <f t="shared" si="42"/>
        <v>0</v>
      </c>
      <c r="N182">
        <f t="shared" ref="N182:N213" si="53">IF(K182="cirrhosis", 1, 0)</f>
        <v>0</v>
      </c>
      <c r="O182">
        <f t="shared" si="47"/>
        <v>0</v>
      </c>
      <c r="P182">
        <f t="shared" si="48"/>
        <v>0</v>
      </c>
      <c r="Q182">
        <f t="shared" si="49"/>
        <v>0</v>
      </c>
      <c r="R182">
        <f t="shared" si="44"/>
        <v>0</v>
      </c>
      <c r="S182">
        <f t="shared" si="51"/>
        <v>0</v>
      </c>
      <c r="T182">
        <f t="shared" si="50"/>
        <v>0</v>
      </c>
      <c r="U182">
        <f t="shared" si="41"/>
        <v>0</v>
      </c>
      <c r="V182">
        <f t="shared" ref="V182:V245" si="54">IF(K182="Peritonitis", 1, 0)</f>
        <v>0</v>
      </c>
      <c r="W182">
        <f t="shared" si="43"/>
        <v>0</v>
      </c>
      <c r="X182" t="s">
        <v>563</v>
      </c>
      <c r="Y182" t="s">
        <v>178</v>
      </c>
      <c r="Z182" s="3" t="s">
        <v>557</v>
      </c>
      <c r="AA182" t="s">
        <v>558</v>
      </c>
      <c r="AB182">
        <f t="shared" si="52"/>
        <v>19.75</v>
      </c>
      <c r="AC182" s="8" t="s">
        <v>1036</v>
      </c>
      <c r="AD182" s="8"/>
      <c r="AE182" s="8">
        <v>172</v>
      </c>
      <c r="AF182" s="8"/>
      <c r="AG182" s="8" t="s">
        <v>1036</v>
      </c>
      <c r="AH182" s="8" t="s">
        <v>1032</v>
      </c>
      <c r="AI182" s="11">
        <v>0.69</v>
      </c>
      <c r="AJ182" s="11">
        <v>1.2</v>
      </c>
      <c r="AK182" s="11">
        <v>64.367449999999991</v>
      </c>
      <c r="AL182" s="11">
        <v>54.304676966585319</v>
      </c>
      <c r="AM182" s="11">
        <v>33.181100000000008</v>
      </c>
      <c r="AN182" s="8" t="s">
        <v>1032</v>
      </c>
      <c r="AO182" s="8" t="s">
        <v>1032</v>
      </c>
    </row>
    <row r="183" spans="1:41" x14ac:dyDescent="0.25">
      <c r="C183" t="s">
        <v>564</v>
      </c>
      <c r="D183" t="s">
        <v>12</v>
      </c>
      <c r="E183" t="s">
        <v>14</v>
      </c>
      <c r="F183">
        <v>2</v>
      </c>
      <c r="G183">
        <v>319</v>
      </c>
      <c r="H183">
        <v>582.20000000000005</v>
      </c>
      <c r="I183">
        <v>54.8</v>
      </c>
      <c r="K183" t="s">
        <v>549</v>
      </c>
      <c r="L183">
        <f t="shared" si="45"/>
        <v>1</v>
      </c>
      <c r="M183">
        <f t="shared" si="42"/>
        <v>0</v>
      </c>
      <c r="N183">
        <f t="shared" si="53"/>
        <v>0</v>
      </c>
      <c r="O183">
        <f t="shared" si="47"/>
        <v>0</v>
      </c>
      <c r="P183">
        <f t="shared" si="48"/>
        <v>0</v>
      </c>
      <c r="Q183">
        <f t="shared" si="49"/>
        <v>0</v>
      </c>
      <c r="R183">
        <f t="shared" si="44"/>
        <v>0</v>
      </c>
      <c r="S183">
        <v>1</v>
      </c>
      <c r="T183">
        <f t="shared" si="50"/>
        <v>0</v>
      </c>
      <c r="U183">
        <f t="shared" si="41"/>
        <v>0</v>
      </c>
      <c r="V183">
        <f t="shared" si="54"/>
        <v>0</v>
      </c>
      <c r="W183">
        <f t="shared" si="43"/>
        <v>0</v>
      </c>
      <c r="X183" t="s">
        <v>565</v>
      </c>
      <c r="Y183" t="s">
        <v>324</v>
      </c>
      <c r="Z183" s="3" t="s">
        <v>566</v>
      </c>
      <c r="AA183" t="s">
        <v>558</v>
      </c>
      <c r="AB183">
        <f t="shared" si="52"/>
        <v>19.75</v>
      </c>
      <c r="AC183" s="8" t="s">
        <v>1036</v>
      </c>
      <c r="AD183" s="8"/>
      <c r="AE183" s="8">
        <v>172</v>
      </c>
      <c r="AF183" s="8"/>
      <c r="AG183" s="8" t="s">
        <v>1036</v>
      </c>
      <c r="AH183" s="8" t="s">
        <v>1032</v>
      </c>
      <c r="AI183" s="11">
        <v>0.69</v>
      </c>
      <c r="AJ183" s="11">
        <v>1.2</v>
      </c>
      <c r="AK183" s="11">
        <v>64.367449999999991</v>
      </c>
      <c r="AL183" s="11">
        <v>54.304676966585319</v>
      </c>
      <c r="AM183" s="11">
        <v>33.181100000000008</v>
      </c>
      <c r="AN183" s="8" t="s">
        <v>1032</v>
      </c>
      <c r="AO183" s="8" t="s">
        <v>1032</v>
      </c>
    </row>
    <row r="184" spans="1:41" x14ac:dyDescent="0.25">
      <c r="C184" t="s">
        <v>567</v>
      </c>
      <c r="D184" t="s">
        <v>12</v>
      </c>
      <c r="E184" t="s">
        <v>14</v>
      </c>
      <c r="F184">
        <v>2</v>
      </c>
      <c r="G184">
        <v>293</v>
      </c>
      <c r="H184">
        <v>576.5</v>
      </c>
      <c r="I184">
        <v>50.8</v>
      </c>
      <c r="L184">
        <f t="shared" si="45"/>
        <v>0</v>
      </c>
      <c r="M184">
        <f t="shared" si="42"/>
        <v>0</v>
      </c>
      <c r="N184">
        <f t="shared" si="53"/>
        <v>0</v>
      </c>
      <c r="O184">
        <f t="shared" si="47"/>
        <v>0</v>
      </c>
      <c r="P184">
        <f t="shared" si="48"/>
        <v>0</v>
      </c>
      <c r="Q184">
        <f t="shared" si="49"/>
        <v>0</v>
      </c>
      <c r="R184">
        <f t="shared" si="44"/>
        <v>0</v>
      </c>
      <c r="S184">
        <f t="shared" si="51"/>
        <v>0</v>
      </c>
      <c r="T184">
        <f t="shared" si="50"/>
        <v>0</v>
      </c>
      <c r="U184">
        <f t="shared" si="41"/>
        <v>0</v>
      </c>
      <c r="V184">
        <f t="shared" si="54"/>
        <v>0</v>
      </c>
      <c r="W184">
        <f t="shared" si="43"/>
        <v>0</v>
      </c>
      <c r="X184" t="s">
        <v>568</v>
      </c>
      <c r="Y184" t="s">
        <v>328</v>
      </c>
      <c r="Z184" s="3" t="s">
        <v>557</v>
      </c>
      <c r="AA184" t="s">
        <v>561</v>
      </c>
      <c r="AB184">
        <f t="shared" si="52"/>
        <v>19.75</v>
      </c>
      <c r="AC184" s="8" t="s">
        <v>1036</v>
      </c>
      <c r="AD184" s="8"/>
      <c r="AE184" s="8">
        <v>172</v>
      </c>
      <c r="AF184" s="8"/>
      <c r="AG184" s="8" t="s">
        <v>1036</v>
      </c>
      <c r="AH184" s="8" t="s">
        <v>1032</v>
      </c>
      <c r="AI184" s="11">
        <v>0.69</v>
      </c>
      <c r="AJ184" s="11">
        <v>1.2</v>
      </c>
      <c r="AK184" s="11">
        <v>64.367449999999991</v>
      </c>
      <c r="AL184" s="11">
        <v>54.304676966585319</v>
      </c>
      <c r="AM184" s="11">
        <v>33.181100000000008</v>
      </c>
      <c r="AN184" s="8" t="s">
        <v>1032</v>
      </c>
      <c r="AO184" s="8" t="s">
        <v>1032</v>
      </c>
    </row>
    <row r="185" spans="1:41" x14ac:dyDescent="0.25">
      <c r="C185" t="s">
        <v>569</v>
      </c>
      <c r="D185" t="s">
        <v>12</v>
      </c>
      <c r="E185" t="s">
        <v>14</v>
      </c>
      <c r="F185">
        <v>2</v>
      </c>
      <c r="G185">
        <v>271.5</v>
      </c>
      <c r="H185">
        <v>552.5</v>
      </c>
      <c r="I185">
        <v>49.1</v>
      </c>
      <c r="L185">
        <f t="shared" si="45"/>
        <v>0</v>
      </c>
      <c r="M185">
        <f t="shared" si="42"/>
        <v>0</v>
      </c>
      <c r="N185">
        <f t="shared" si="53"/>
        <v>0</v>
      </c>
      <c r="O185">
        <f t="shared" si="47"/>
        <v>0</v>
      </c>
      <c r="P185">
        <f t="shared" si="48"/>
        <v>0</v>
      </c>
      <c r="Q185">
        <f t="shared" si="49"/>
        <v>0</v>
      </c>
      <c r="R185">
        <f t="shared" si="44"/>
        <v>0</v>
      </c>
      <c r="S185">
        <f t="shared" si="51"/>
        <v>0</v>
      </c>
      <c r="T185">
        <f t="shared" si="50"/>
        <v>0</v>
      </c>
      <c r="U185">
        <f t="shared" si="41"/>
        <v>0</v>
      </c>
      <c r="V185">
        <f t="shared" si="54"/>
        <v>0</v>
      </c>
      <c r="W185">
        <f t="shared" si="43"/>
        <v>0</v>
      </c>
      <c r="X185" t="s">
        <v>570</v>
      </c>
      <c r="Y185" t="s">
        <v>187</v>
      </c>
      <c r="Z185" s="3" t="s">
        <v>557</v>
      </c>
      <c r="AB185">
        <f t="shared" si="52"/>
        <v>19.75</v>
      </c>
      <c r="AC185" s="8" t="s">
        <v>1036</v>
      </c>
      <c r="AD185" s="8"/>
      <c r="AE185" s="8">
        <v>172</v>
      </c>
      <c r="AF185" s="8"/>
      <c r="AG185" s="8" t="s">
        <v>1036</v>
      </c>
      <c r="AH185" s="8" t="s">
        <v>1032</v>
      </c>
      <c r="AI185" s="11">
        <v>0.69</v>
      </c>
      <c r="AJ185" s="11">
        <v>1.2</v>
      </c>
      <c r="AK185" s="11">
        <v>64.367449999999991</v>
      </c>
      <c r="AL185" s="11">
        <v>54.304676966585319</v>
      </c>
      <c r="AM185" s="11">
        <v>33.181100000000008</v>
      </c>
      <c r="AN185" s="8" t="s">
        <v>1032</v>
      </c>
      <c r="AO185" s="8" t="s">
        <v>1032</v>
      </c>
    </row>
    <row r="186" spans="1:41" x14ac:dyDescent="0.25">
      <c r="C186" t="s">
        <v>571</v>
      </c>
      <c r="D186" t="s">
        <v>12</v>
      </c>
      <c r="E186" t="s">
        <v>14</v>
      </c>
      <c r="F186">
        <v>2</v>
      </c>
      <c r="G186">
        <v>299.5</v>
      </c>
      <c r="H186">
        <v>545.20000000000005</v>
      </c>
      <c r="I186">
        <v>54.9</v>
      </c>
      <c r="K186" t="s">
        <v>317</v>
      </c>
      <c r="L186">
        <f t="shared" si="45"/>
        <v>1</v>
      </c>
      <c r="M186">
        <f t="shared" si="42"/>
        <v>0</v>
      </c>
      <c r="N186">
        <f t="shared" si="53"/>
        <v>0</v>
      </c>
      <c r="O186">
        <f t="shared" si="47"/>
        <v>0</v>
      </c>
      <c r="P186">
        <f t="shared" si="48"/>
        <v>0</v>
      </c>
      <c r="Q186">
        <f t="shared" si="49"/>
        <v>0</v>
      </c>
      <c r="R186">
        <f t="shared" si="44"/>
        <v>0</v>
      </c>
      <c r="S186">
        <f t="shared" si="51"/>
        <v>1</v>
      </c>
      <c r="T186">
        <f t="shared" si="50"/>
        <v>0</v>
      </c>
      <c r="U186">
        <f t="shared" si="41"/>
        <v>0</v>
      </c>
      <c r="V186">
        <f t="shared" si="54"/>
        <v>0</v>
      </c>
      <c r="W186">
        <f t="shared" si="43"/>
        <v>0</v>
      </c>
      <c r="X186" t="s">
        <v>572</v>
      </c>
      <c r="Y186" t="s">
        <v>191</v>
      </c>
      <c r="Z186" s="3" t="s">
        <v>573</v>
      </c>
      <c r="AA186" t="s">
        <v>551</v>
      </c>
      <c r="AB186">
        <f t="shared" si="52"/>
        <v>19.75</v>
      </c>
      <c r="AC186" s="8" t="s">
        <v>1036</v>
      </c>
      <c r="AD186" s="8"/>
      <c r="AE186" s="8">
        <v>172</v>
      </c>
      <c r="AF186" s="8"/>
      <c r="AG186" s="8" t="s">
        <v>1036</v>
      </c>
      <c r="AH186" s="8" t="s">
        <v>1032</v>
      </c>
      <c r="AI186" s="11">
        <v>0.69</v>
      </c>
      <c r="AJ186" s="11">
        <v>1.2</v>
      </c>
      <c r="AK186" s="11">
        <v>64.367449999999991</v>
      </c>
      <c r="AL186" s="11">
        <v>54.304676966585319</v>
      </c>
      <c r="AM186" s="11">
        <v>33.181100000000008</v>
      </c>
      <c r="AN186" s="8" t="s">
        <v>1032</v>
      </c>
      <c r="AO186" s="8" t="s">
        <v>1032</v>
      </c>
    </row>
    <row r="187" spans="1:41" x14ac:dyDescent="0.25">
      <c r="C187" t="s">
        <v>574</v>
      </c>
      <c r="D187" t="s">
        <v>12</v>
      </c>
      <c r="E187" t="s">
        <v>14</v>
      </c>
      <c r="F187">
        <v>4</v>
      </c>
      <c r="G187">
        <v>322</v>
      </c>
      <c r="H187">
        <v>640.6</v>
      </c>
      <c r="I187">
        <v>50.3</v>
      </c>
      <c r="L187">
        <f t="shared" si="45"/>
        <v>0</v>
      </c>
      <c r="M187">
        <f t="shared" si="42"/>
        <v>0</v>
      </c>
      <c r="N187">
        <f t="shared" si="53"/>
        <v>0</v>
      </c>
      <c r="O187">
        <f t="shared" si="47"/>
        <v>0</v>
      </c>
      <c r="P187">
        <f t="shared" si="48"/>
        <v>0</v>
      </c>
      <c r="Q187">
        <f t="shared" si="49"/>
        <v>0</v>
      </c>
      <c r="R187">
        <f t="shared" si="44"/>
        <v>0</v>
      </c>
      <c r="S187">
        <f t="shared" si="51"/>
        <v>0</v>
      </c>
      <c r="T187">
        <f t="shared" si="50"/>
        <v>0</v>
      </c>
      <c r="U187">
        <f t="shared" si="41"/>
        <v>0</v>
      </c>
      <c r="V187">
        <f t="shared" si="54"/>
        <v>0</v>
      </c>
      <c r="W187">
        <f t="shared" si="43"/>
        <v>0</v>
      </c>
      <c r="X187" t="s">
        <v>575</v>
      </c>
      <c r="Y187" t="s">
        <v>576</v>
      </c>
      <c r="Z187" s="3" t="s">
        <v>577</v>
      </c>
      <c r="AA187" t="s">
        <v>554</v>
      </c>
      <c r="AB187">
        <f t="shared" si="52"/>
        <v>19.75</v>
      </c>
      <c r="AC187" s="8" t="s">
        <v>1036</v>
      </c>
      <c r="AD187" s="8"/>
      <c r="AE187" s="8">
        <v>172</v>
      </c>
      <c r="AF187" s="8"/>
      <c r="AG187" s="8" t="s">
        <v>1036</v>
      </c>
      <c r="AH187" s="8" t="s">
        <v>1032</v>
      </c>
      <c r="AI187" s="11">
        <v>0.69</v>
      </c>
      <c r="AJ187" s="11">
        <v>1.2</v>
      </c>
      <c r="AK187" s="11">
        <v>64.367449999999991</v>
      </c>
      <c r="AL187" s="11">
        <v>54.304676966585319</v>
      </c>
      <c r="AM187" s="11">
        <v>33.181100000000008</v>
      </c>
      <c r="AN187" s="8" t="s">
        <v>1032</v>
      </c>
      <c r="AO187" s="8" t="s">
        <v>1032</v>
      </c>
    </row>
    <row r="188" spans="1:41" x14ac:dyDescent="0.25">
      <c r="C188" t="s">
        <v>578</v>
      </c>
      <c r="D188" t="s">
        <v>12</v>
      </c>
      <c r="E188" t="s">
        <v>14</v>
      </c>
      <c r="F188">
        <v>2</v>
      </c>
      <c r="G188">
        <v>291</v>
      </c>
      <c r="H188">
        <v>563</v>
      </c>
      <c r="I188">
        <v>51.7</v>
      </c>
      <c r="L188">
        <f t="shared" si="45"/>
        <v>0</v>
      </c>
      <c r="M188">
        <f t="shared" si="42"/>
        <v>0</v>
      </c>
      <c r="N188">
        <f t="shared" si="53"/>
        <v>0</v>
      </c>
      <c r="O188">
        <f t="shared" si="47"/>
        <v>0</v>
      </c>
      <c r="P188">
        <f t="shared" si="48"/>
        <v>0</v>
      </c>
      <c r="Q188">
        <f t="shared" si="49"/>
        <v>0</v>
      </c>
      <c r="R188">
        <f t="shared" si="44"/>
        <v>0</v>
      </c>
      <c r="S188">
        <f t="shared" si="51"/>
        <v>0</v>
      </c>
      <c r="T188">
        <f t="shared" si="50"/>
        <v>0</v>
      </c>
      <c r="U188">
        <f t="shared" si="41"/>
        <v>0</v>
      </c>
      <c r="V188">
        <f t="shared" si="54"/>
        <v>0</v>
      </c>
      <c r="W188">
        <f t="shared" si="43"/>
        <v>0</v>
      </c>
      <c r="X188" t="s">
        <v>579</v>
      </c>
      <c r="Y188" t="s">
        <v>336</v>
      </c>
      <c r="Z188" s="3" t="s">
        <v>387</v>
      </c>
      <c r="AA188" t="s">
        <v>561</v>
      </c>
      <c r="AB188">
        <f t="shared" si="52"/>
        <v>19.75</v>
      </c>
      <c r="AC188" s="8" t="s">
        <v>1036</v>
      </c>
      <c r="AD188" s="8"/>
      <c r="AE188" s="8">
        <v>172</v>
      </c>
      <c r="AF188" s="8"/>
      <c r="AG188" s="8" t="s">
        <v>1036</v>
      </c>
      <c r="AH188" s="8" t="s">
        <v>1032</v>
      </c>
      <c r="AI188" s="11">
        <v>0.69</v>
      </c>
      <c r="AJ188" s="11">
        <v>1.2</v>
      </c>
      <c r="AK188" s="11">
        <v>64.367449999999991</v>
      </c>
      <c r="AL188" s="11">
        <v>54.304676966585319</v>
      </c>
      <c r="AM188" s="11">
        <v>33.181100000000008</v>
      </c>
      <c r="AN188" s="8" t="s">
        <v>1032</v>
      </c>
      <c r="AO188" s="8" t="s">
        <v>1032</v>
      </c>
    </row>
    <row r="189" spans="1:41" x14ac:dyDescent="0.25">
      <c r="C189" t="s">
        <v>580</v>
      </c>
      <c r="D189" t="s">
        <v>12</v>
      </c>
      <c r="E189" t="s">
        <v>14</v>
      </c>
      <c r="F189">
        <v>2</v>
      </c>
      <c r="G189">
        <v>337.5</v>
      </c>
      <c r="H189">
        <v>618.20000000000005</v>
      </c>
      <c r="I189">
        <v>54.6</v>
      </c>
      <c r="L189">
        <f t="shared" si="45"/>
        <v>0</v>
      </c>
      <c r="M189">
        <f t="shared" si="42"/>
        <v>0</v>
      </c>
      <c r="N189">
        <f t="shared" si="53"/>
        <v>0</v>
      </c>
      <c r="O189">
        <f t="shared" si="47"/>
        <v>0</v>
      </c>
      <c r="P189">
        <f t="shared" si="48"/>
        <v>0</v>
      </c>
      <c r="Q189">
        <f t="shared" si="49"/>
        <v>0</v>
      </c>
      <c r="R189">
        <f t="shared" si="44"/>
        <v>0</v>
      </c>
      <c r="S189">
        <f t="shared" si="51"/>
        <v>0</v>
      </c>
      <c r="T189">
        <f t="shared" si="50"/>
        <v>0</v>
      </c>
      <c r="U189">
        <f t="shared" si="41"/>
        <v>0</v>
      </c>
      <c r="V189">
        <f t="shared" si="54"/>
        <v>0</v>
      </c>
      <c r="W189">
        <f t="shared" si="43"/>
        <v>0</v>
      </c>
      <c r="X189" t="s">
        <v>581</v>
      </c>
      <c r="Y189" t="s">
        <v>342</v>
      </c>
      <c r="Z189" s="3" t="s">
        <v>390</v>
      </c>
      <c r="AA189" t="s">
        <v>558</v>
      </c>
      <c r="AB189">
        <f t="shared" si="52"/>
        <v>19.75</v>
      </c>
      <c r="AC189" s="8" t="s">
        <v>1036</v>
      </c>
      <c r="AD189" s="8"/>
      <c r="AE189" s="8">
        <v>172</v>
      </c>
      <c r="AF189" s="8"/>
      <c r="AG189" s="8" t="s">
        <v>1036</v>
      </c>
      <c r="AH189" s="8" t="s">
        <v>1032</v>
      </c>
      <c r="AI189" s="11">
        <v>0.69</v>
      </c>
      <c r="AJ189" s="11">
        <v>1.2</v>
      </c>
      <c r="AK189" s="11">
        <v>64.367449999999991</v>
      </c>
      <c r="AL189" s="11">
        <v>54.304676966585319</v>
      </c>
      <c r="AM189" s="11">
        <v>33.181100000000008</v>
      </c>
      <c r="AN189" s="8" t="s">
        <v>1032</v>
      </c>
      <c r="AO189" s="8" t="s">
        <v>1032</v>
      </c>
    </row>
    <row r="190" spans="1:41" x14ac:dyDescent="0.25">
      <c r="C190" t="s">
        <v>582</v>
      </c>
      <c r="D190" t="s">
        <v>12</v>
      </c>
      <c r="E190" t="s">
        <v>14</v>
      </c>
      <c r="F190">
        <v>4</v>
      </c>
      <c r="G190">
        <v>351.5</v>
      </c>
      <c r="H190">
        <v>690.7</v>
      </c>
      <c r="I190">
        <v>50.9</v>
      </c>
      <c r="L190">
        <f t="shared" si="45"/>
        <v>0</v>
      </c>
      <c r="M190">
        <f t="shared" si="42"/>
        <v>0</v>
      </c>
      <c r="N190">
        <f t="shared" si="53"/>
        <v>0</v>
      </c>
      <c r="O190">
        <f t="shared" si="47"/>
        <v>0</v>
      </c>
      <c r="P190">
        <f t="shared" si="48"/>
        <v>0</v>
      </c>
      <c r="Q190">
        <f t="shared" si="49"/>
        <v>0</v>
      </c>
      <c r="R190">
        <f t="shared" si="44"/>
        <v>0</v>
      </c>
      <c r="S190">
        <f t="shared" si="51"/>
        <v>0</v>
      </c>
      <c r="T190">
        <f t="shared" si="50"/>
        <v>0</v>
      </c>
      <c r="U190">
        <f t="shared" si="41"/>
        <v>0</v>
      </c>
      <c r="V190">
        <f t="shared" si="54"/>
        <v>0</v>
      </c>
      <c r="W190">
        <f t="shared" si="43"/>
        <v>0</v>
      </c>
      <c r="X190" t="s">
        <v>583</v>
      </c>
      <c r="Y190" t="s">
        <v>584</v>
      </c>
      <c r="Z190" s="3" t="s">
        <v>390</v>
      </c>
      <c r="AA190" t="s">
        <v>554</v>
      </c>
      <c r="AB190">
        <f t="shared" si="52"/>
        <v>19.75</v>
      </c>
      <c r="AC190" s="8" t="s">
        <v>1036</v>
      </c>
      <c r="AD190" s="8"/>
      <c r="AE190" s="8">
        <v>172</v>
      </c>
      <c r="AF190" s="8"/>
      <c r="AG190" s="8" t="s">
        <v>1036</v>
      </c>
      <c r="AH190" s="8" t="s">
        <v>1032</v>
      </c>
      <c r="AI190" s="11">
        <v>0.69</v>
      </c>
      <c r="AJ190" s="11">
        <v>1.2</v>
      </c>
      <c r="AK190" s="11">
        <v>64.367449999999991</v>
      </c>
      <c r="AL190" s="11">
        <v>54.304676966585319</v>
      </c>
      <c r="AM190" s="11">
        <v>33.181100000000008</v>
      </c>
      <c r="AN190" s="8" t="s">
        <v>1032</v>
      </c>
      <c r="AO190" s="8" t="s">
        <v>1032</v>
      </c>
    </row>
    <row r="191" spans="1:41" x14ac:dyDescent="0.25">
      <c r="C191" t="s">
        <v>585</v>
      </c>
      <c r="D191" t="s">
        <v>12</v>
      </c>
      <c r="E191" t="s">
        <v>14</v>
      </c>
      <c r="F191">
        <v>2</v>
      </c>
      <c r="G191">
        <v>296</v>
      </c>
      <c r="H191">
        <v>569.70000000000005</v>
      </c>
      <c r="I191">
        <v>52</v>
      </c>
      <c r="K191" t="s">
        <v>86</v>
      </c>
      <c r="L191">
        <f t="shared" si="45"/>
        <v>1</v>
      </c>
      <c r="M191">
        <f t="shared" si="42"/>
        <v>0</v>
      </c>
      <c r="N191">
        <f t="shared" si="53"/>
        <v>0</v>
      </c>
      <c r="O191">
        <f t="shared" si="47"/>
        <v>1</v>
      </c>
      <c r="P191">
        <f t="shared" si="48"/>
        <v>0</v>
      </c>
      <c r="Q191">
        <f t="shared" si="49"/>
        <v>0</v>
      </c>
      <c r="R191">
        <f t="shared" si="44"/>
        <v>0</v>
      </c>
      <c r="S191">
        <f t="shared" si="51"/>
        <v>0</v>
      </c>
      <c r="T191">
        <f t="shared" si="50"/>
        <v>0</v>
      </c>
      <c r="U191">
        <f t="shared" si="41"/>
        <v>0</v>
      </c>
      <c r="V191">
        <f t="shared" si="54"/>
        <v>0</v>
      </c>
      <c r="W191">
        <f t="shared" si="43"/>
        <v>0</v>
      </c>
      <c r="X191" t="s">
        <v>586</v>
      </c>
      <c r="Y191" t="s">
        <v>183</v>
      </c>
      <c r="Z191" s="3" t="s">
        <v>587</v>
      </c>
      <c r="AA191" t="s">
        <v>551</v>
      </c>
      <c r="AB191">
        <f t="shared" si="52"/>
        <v>19.75</v>
      </c>
      <c r="AC191" s="8" t="s">
        <v>1036</v>
      </c>
      <c r="AD191" s="8"/>
      <c r="AE191" s="8">
        <v>172</v>
      </c>
      <c r="AF191" s="8"/>
      <c r="AG191" s="8" t="s">
        <v>1036</v>
      </c>
      <c r="AH191" s="8" t="s">
        <v>1032</v>
      </c>
      <c r="AI191" s="11">
        <v>0.69</v>
      </c>
      <c r="AJ191" s="11">
        <v>1.2</v>
      </c>
      <c r="AK191" s="11">
        <v>64.367449999999991</v>
      </c>
      <c r="AL191" s="11">
        <v>54.304676966585319</v>
      </c>
      <c r="AM191" s="11">
        <v>33.181100000000008</v>
      </c>
      <c r="AN191" s="8" t="s">
        <v>1032</v>
      </c>
      <c r="AO191" s="8" t="s">
        <v>1032</v>
      </c>
    </row>
    <row r="192" spans="1:41" x14ac:dyDescent="0.25">
      <c r="C192" t="s">
        <v>588</v>
      </c>
      <c r="D192" t="s">
        <v>12</v>
      </c>
      <c r="E192" t="s">
        <v>14</v>
      </c>
      <c r="F192">
        <v>2</v>
      </c>
      <c r="G192">
        <v>350.5</v>
      </c>
      <c r="H192">
        <v>701.6</v>
      </c>
      <c r="I192">
        <v>50</v>
      </c>
      <c r="L192">
        <f t="shared" si="45"/>
        <v>0</v>
      </c>
      <c r="M192">
        <f t="shared" si="42"/>
        <v>0</v>
      </c>
      <c r="N192">
        <f t="shared" si="53"/>
        <v>0</v>
      </c>
      <c r="O192">
        <f t="shared" si="47"/>
        <v>0</v>
      </c>
      <c r="P192">
        <f t="shared" si="48"/>
        <v>0</v>
      </c>
      <c r="Q192">
        <f t="shared" si="49"/>
        <v>0</v>
      </c>
      <c r="R192">
        <f t="shared" si="44"/>
        <v>0</v>
      </c>
      <c r="S192">
        <f t="shared" si="51"/>
        <v>0</v>
      </c>
      <c r="T192">
        <f t="shared" si="50"/>
        <v>0</v>
      </c>
      <c r="U192">
        <f t="shared" si="41"/>
        <v>0</v>
      </c>
      <c r="V192">
        <f t="shared" si="54"/>
        <v>0</v>
      </c>
      <c r="W192">
        <f t="shared" si="43"/>
        <v>0</v>
      </c>
      <c r="X192" t="s">
        <v>589</v>
      </c>
      <c r="Y192" t="s">
        <v>349</v>
      </c>
      <c r="Z192" s="3" t="s">
        <v>587</v>
      </c>
      <c r="AA192" t="s">
        <v>561</v>
      </c>
      <c r="AB192">
        <f t="shared" si="52"/>
        <v>19.75</v>
      </c>
      <c r="AC192" s="8" t="s">
        <v>1036</v>
      </c>
      <c r="AD192" s="8"/>
      <c r="AE192" s="8">
        <v>172</v>
      </c>
      <c r="AF192" s="8"/>
      <c r="AG192" s="8" t="s">
        <v>1036</v>
      </c>
      <c r="AH192" s="8" t="s">
        <v>1032</v>
      </c>
      <c r="AI192" s="11">
        <v>0.69</v>
      </c>
      <c r="AJ192" s="11">
        <v>1.2</v>
      </c>
      <c r="AK192" s="11">
        <v>64.367449999999991</v>
      </c>
      <c r="AL192" s="11">
        <v>54.304676966585319</v>
      </c>
      <c r="AM192" s="11">
        <v>33.181100000000008</v>
      </c>
      <c r="AN192" s="8" t="s">
        <v>1032</v>
      </c>
      <c r="AO192" s="8" t="s">
        <v>1032</v>
      </c>
    </row>
    <row r="193" spans="1:41" x14ac:dyDescent="0.25">
      <c r="C193" t="s">
        <v>590</v>
      </c>
      <c r="D193" t="s">
        <v>12</v>
      </c>
      <c r="E193" t="s">
        <v>14</v>
      </c>
      <c r="F193">
        <v>4</v>
      </c>
      <c r="G193">
        <v>306.5</v>
      </c>
      <c r="H193">
        <v>649.5</v>
      </c>
      <c r="I193">
        <v>47.2</v>
      </c>
      <c r="K193" t="s">
        <v>591</v>
      </c>
      <c r="L193">
        <f t="shared" si="45"/>
        <v>1</v>
      </c>
      <c r="M193">
        <f>IF(K193="Arthritis", 1, 0)</f>
        <v>1</v>
      </c>
      <c r="N193">
        <f t="shared" si="53"/>
        <v>0</v>
      </c>
      <c r="O193">
        <f t="shared" si="47"/>
        <v>0</v>
      </c>
      <c r="P193">
        <f t="shared" si="48"/>
        <v>0</v>
      </c>
      <c r="Q193">
        <f t="shared" si="49"/>
        <v>0</v>
      </c>
      <c r="R193">
        <f t="shared" si="44"/>
        <v>0</v>
      </c>
      <c r="S193">
        <f t="shared" si="51"/>
        <v>0</v>
      </c>
      <c r="T193">
        <f t="shared" si="50"/>
        <v>0</v>
      </c>
      <c r="U193">
        <f t="shared" si="41"/>
        <v>0</v>
      </c>
      <c r="V193">
        <f t="shared" si="54"/>
        <v>0</v>
      </c>
      <c r="W193">
        <f t="shared" si="43"/>
        <v>0</v>
      </c>
      <c r="X193" t="s">
        <v>592</v>
      </c>
      <c r="Y193" t="s">
        <v>353</v>
      </c>
      <c r="Z193" s="3" t="s">
        <v>593</v>
      </c>
      <c r="AA193" t="s">
        <v>554</v>
      </c>
      <c r="AB193">
        <f t="shared" si="52"/>
        <v>19.75</v>
      </c>
      <c r="AC193" s="8" t="s">
        <v>1036</v>
      </c>
      <c r="AD193" s="8"/>
      <c r="AE193" s="8">
        <v>172</v>
      </c>
      <c r="AF193" s="8"/>
      <c r="AG193" s="8" t="s">
        <v>1036</v>
      </c>
      <c r="AH193" s="8" t="s">
        <v>1032</v>
      </c>
      <c r="AI193" s="11">
        <v>0.69</v>
      </c>
      <c r="AJ193" s="11">
        <v>1.2</v>
      </c>
      <c r="AK193" s="11">
        <v>64.367449999999991</v>
      </c>
      <c r="AL193" s="11">
        <v>54.304676966585319</v>
      </c>
      <c r="AM193" s="11">
        <v>33.181100000000008</v>
      </c>
      <c r="AN193" s="8" t="s">
        <v>1032</v>
      </c>
      <c r="AO193" s="8" t="s">
        <v>1032</v>
      </c>
    </row>
    <row r="194" spans="1:41" x14ac:dyDescent="0.25">
      <c r="A194" s="2"/>
      <c r="B194" s="2"/>
      <c r="C194" s="2" t="s">
        <v>594</v>
      </c>
      <c r="D194" s="2" t="s">
        <v>12</v>
      </c>
      <c r="E194" s="2" t="s">
        <v>14</v>
      </c>
      <c r="F194" s="2">
        <v>4</v>
      </c>
      <c r="G194" s="2">
        <v>313.5</v>
      </c>
      <c r="H194" s="2">
        <v>632.29999999999995</v>
      </c>
      <c r="I194" s="2">
        <v>49.6</v>
      </c>
      <c r="J194" s="2"/>
      <c r="K194" s="2"/>
      <c r="L194" s="2">
        <f t="shared" si="45"/>
        <v>0</v>
      </c>
      <c r="M194" s="2">
        <f t="shared" ref="M194:M257" si="55">IF(K194="Arthritis", 1, 0)</f>
        <v>0</v>
      </c>
      <c r="N194" s="2">
        <f t="shared" si="53"/>
        <v>0</v>
      </c>
      <c r="O194" s="2">
        <f t="shared" si="47"/>
        <v>0</v>
      </c>
      <c r="P194" s="2">
        <f t="shared" si="48"/>
        <v>0</v>
      </c>
      <c r="Q194" s="2">
        <f t="shared" si="49"/>
        <v>0</v>
      </c>
      <c r="R194" s="2">
        <f t="shared" si="44"/>
        <v>0</v>
      </c>
      <c r="S194" s="2">
        <f t="shared" si="51"/>
        <v>0</v>
      </c>
      <c r="T194" s="2">
        <f t="shared" si="50"/>
        <v>0</v>
      </c>
      <c r="U194" s="2">
        <f t="shared" si="41"/>
        <v>0</v>
      </c>
      <c r="V194" s="2">
        <f t="shared" si="54"/>
        <v>0</v>
      </c>
      <c r="W194" s="2">
        <f t="shared" si="43"/>
        <v>0</v>
      </c>
      <c r="X194" s="2" t="s">
        <v>595</v>
      </c>
      <c r="Y194" s="2" t="s">
        <v>596</v>
      </c>
      <c r="Z194" s="6" t="s">
        <v>587</v>
      </c>
      <c r="AA194" s="2" t="s">
        <v>554</v>
      </c>
      <c r="AB194" s="2">
        <f t="shared" si="52"/>
        <v>19.75</v>
      </c>
      <c r="AC194" s="9" t="s">
        <v>1036</v>
      </c>
      <c r="AD194" s="9"/>
      <c r="AE194" s="9">
        <v>172</v>
      </c>
      <c r="AF194" s="9"/>
      <c r="AG194" s="9" t="s">
        <v>1036</v>
      </c>
      <c r="AH194" s="9" t="s">
        <v>1032</v>
      </c>
      <c r="AI194" s="19">
        <v>0.69</v>
      </c>
      <c r="AJ194" s="19">
        <v>1.2</v>
      </c>
      <c r="AK194" s="19">
        <v>64.367449999999991</v>
      </c>
      <c r="AL194" s="19">
        <v>54.304676966585319</v>
      </c>
      <c r="AM194" s="19">
        <v>33.181100000000008</v>
      </c>
      <c r="AN194" s="9" t="s">
        <v>1032</v>
      </c>
      <c r="AO194" s="9" t="s">
        <v>1032</v>
      </c>
    </row>
    <row r="195" spans="1:41" ht="15.75" x14ac:dyDescent="0.25">
      <c r="A195" s="7">
        <v>44886</v>
      </c>
      <c r="B195" t="s">
        <v>597</v>
      </c>
      <c r="C195" t="s">
        <v>598</v>
      </c>
      <c r="D195" t="s">
        <v>12</v>
      </c>
      <c r="E195" t="s">
        <v>14</v>
      </c>
      <c r="F195">
        <v>2</v>
      </c>
      <c r="G195">
        <v>300.5</v>
      </c>
      <c r="H195">
        <v>532.6</v>
      </c>
      <c r="I195">
        <v>56.4</v>
      </c>
      <c r="L195">
        <f t="shared" si="45"/>
        <v>0</v>
      </c>
      <c r="M195">
        <f t="shared" si="55"/>
        <v>0</v>
      </c>
      <c r="N195">
        <f t="shared" si="53"/>
        <v>0</v>
      </c>
      <c r="O195">
        <f t="shared" si="47"/>
        <v>0</v>
      </c>
      <c r="P195">
        <f t="shared" si="48"/>
        <v>0</v>
      </c>
      <c r="Q195">
        <f t="shared" si="49"/>
        <v>0</v>
      </c>
      <c r="R195">
        <f t="shared" si="44"/>
        <v>0</v>
      </c>
      <c r="S195">
        <f t="shared" si="51"/>
        <v>0</v>
      </c>
      <c r="T195">
        <f t="shared" si="50"/>
        <v>0</v>
      </c>
      <c r="U195">
        <f t="shared" si="41"/>
        <v>0</v>
      </c>
      <c r="V195">
        <f t="shared" si="54"/>
        <v>0</v>
      </c>
      <c r="W195">
        <f t="shared" si="43"/>
        <v>0</v>
      </c>
      <c r="X195" t="s">
        <v>599</v>
      </c>
      <c r="Y195" t="s">
        <v>600</v>
      </c>
      <c r="Z195" s="3" t="s">
        <v>601</v>
      </c>
      <c r="AA195" t="s">
        <v>602</v>
      </c>
      <c r="AB195">
        <f>(24-12.25)+11.25</f>
        <v>23</v>
      </c>
      <c r="AC195" s="8" t="s">
        <v>1071</v>
      </c>
      <c r="AD195" s="8"/>
      <c r="AE195" s="8">
        <v>175</v>
      </c>
      <c r="AF195" s="8"/>
      <c r="AG195" s="8" t="s">
        <v>1036</v>
      </c>
      <c r="AH195" s="8" t="s">
        <v>1032</v>
      </c>
      <c r="AI195" s="33">
        <v>0.47</v>
      </c>
    </row>
    <row r="196" spans="1:41" x14ac:dyDescent="0.25">
      <c r="C196" t="s">
        <v>603</v>
      </c>
      <c r="D196" t="s">
        <v>12</v>
      </c>
      <c r="E196" t="s">
        <v>14</v>
      </c>
      <c r="F196">
        <v>2</v>
      </c>
      <c r="G196">
        <v>323</v>
      </c>
      <c r="H196">
        <v>593.20000000000005</v>
      </c>
      <c r="I196">
        <v>54.5</v>
      </c>
      <c r="L196">
        <f t="shared" si="45"/>
        <v>0</v>
      </c>
      <c r="M196">
        <f t="shared" si="55"/>
        <v>0</v>
      </c>
      <c r="N196">
        <f t="shared" si="53"/>
        <v>0</v>
      </c>
      <c r="O196">
        <f t="shared" si="47"/>
        <v>0</v>
      </c>
      <c r="P196">
        <f t="shared" si="48"/>
        <v>0</v>
      </c>
      <c r="Q196">
        <f t="shared" si="49"/>
        <v>0</v>
      </c>
      <c r="R196">
        <f t="shared" si="44"/>
        <v>0</v>
      </c>
      <c r="S196">
        <f t="shared" si="51"/>
        <v>0</v>
      </c>
      <c r="T196">
        <f t="shared" si="50"/>
        <v>0</v>
      </c>
      <c r="U196">
        <f t="shared" si="41"/>
        <v>0</v>
      </c>
      <c r="V196">
        <f t="shared" si="54"/>
        <v>0</v>
      </c>
      <c r="W196">
        <f t="shared" si="43"/>
        <v>0</v>
      </c>
      <c r="X196" t="s">
        <v>604</v>
      </c>
      <c r="Y196" t="s">
        <v>217</v>
      </c>
      <c r="Z196" s="3" t="s">
        <v>605</v>
      </c>
      <c r="AA196" t="s">
        <v>606</v>
      </c>
      <c r="AB196">
        <v>23</v>
      </c>
      <c r="AC196" s="8" t="s">
        <v>1071</v>
      </c>
      <c r="AD196" s="8"/>
      <c r="AE196" s="8">
        <v>175</v>
      </c>
      <c r="AF196" s="8"/>
      <c r="AG196" s="8" t="s">
        <v>1036</v>
      </c>
      <c r="AH196" s="8" t="s">
        <v>1032</v>
      </c>
      <c r="AI196" s="33">
        <v>0.47</v>
      </c>
    </row>
    <row r="197" spans="1:41" x14ac:dyDescent="0.25">
      <c r="C197" t="s">
        <v>607</v>
      </c>
      <c r="D197" t="s">
        <v>12</v>
      </c>
      <c r="E197" t="s">
        <v>14</v>
      </c>
      <c r="F197">
        <v>2</v>
      </c>
      <c r="G197">
        <v>274</v>
      </c>
      <c r="H197">
        <v>484.3</v>
      </c>
      <c r="I197">
        <v>56.6</v>
      </c>
      <c r="L197">
        <f t="shared" si="45"/>
        <v>0</v>
      </c>
      <c r="M197">
        <f t="shared" si="55"/>
        <v>0</v>
      </c>
      <c r="N197">
        <f t="shared" si="53"/>
        <v>0</v>
      </c>
      <c r="O197">
        <f t="shared" si="47"/>
        <v>0</v>
      </c>
      <c r="P197">
        <f t="shared" si="48"/>
        <v>0</v>
      </c>
      <c r="Q197">
        <f t="shared" si="49"/>
        <v>0</v>
      </c>
      <c r="R197">
        <f t="shared" si="44"/>
        <v>0</v>
      </c>
      <c r="S197">
        <f t="shared" si="51"/>
        <v>0</v>
      </c>
      <c r="T197">
        <f t="shared" si="50"/>
        <v>0</v>
      </c>
      <c r="U197">
        <f t="shared" si="41"/>
        <v>0</v>
      </c>
      <c r="V197">
        <f t="shared" si="54"/>
        <v>0</v>
      </c>
      <c r="W197">
        <f t="shared" si="43"/>
        <v>0</v>
      </c>
      <c r="X197" t="s">
        <v>608</v>
      </c>
      <c r="Y197" t="s">
        <v>609</v>
      </c>
      <c r="Z197" s="3" t="s">
        <v>610</v>
      </c>
      <c r="AA197" t="s">
        <v>611</v>
      </c>
      <c r="AB197">
        <v>23</v>
      </c>
      <c r="AC197" s="8" t="s">
        <v>1071</v>
      </c>
      <c r="AD197" s="8"/>
      <c r="AE197" s="8">
        <v>175</v>
      </c>
      <c r="AF197" s="8"/>
      <c r="AG197" s="8" t="s">
        <v>1036</v>
      </c>
      <c r="AH197" s="8" t="s">
        <v>1032</v>
      </c>
      <c r="AI197" s="33">
        <v>0.47</v>
      </c>
    </row>
    <row r="198" spans="1:41" x14ac:dyDescent="0.25">
      <c r="C198" t="s">
        <v>612</v>
      </c>
      <c r="D198" t="s">
        <v>12</v>
      </c>
      <c r="E198" t="s">
        <v>14</v>
      </c>
      <c r="F198">
        <v>2</v>
      </c>
      <c r="G198">
        <v>322.5</v>
      </c>
      <c r="H198">
        <v>589.5</v>
      </c>
      <c r="I198">
        <v>54.7</v>
      </c>
      <c r="L198">
        <f t="shared" si="45"/>
        <v>0</v>
      </c>
      <c r="M198">
        <f t="shared" si="55"/>
        <v>0</v>
      </c>
      <c r="N198">
        <f t="shared" si="53"/>
        <v>0</v>
      </c>
      <c r="O198">
        <f t="shared" si="47"/>
        <v>0</v>
      </c>
      <c r="P198">
        <f t="shared" si="48"/>
        <v>0</v>
      </c>
      <c r="Q198">
        <f t="shared" si="49"/>
        <v>0</v>
      </c>
      <c r="R198">
        <f t="shared" si="44"/>
        <v>0</v>
      </c>
      <c r="S198">
        <f t="shared" si="51"/>
        <v>0</v>
      </c>
      <c r="T198">
        <f t="shared" si="50"/>
        <v>0</v>
      </c>
      <c r="U198">
        <f t="shared" si="41"/>
        <v>0</v>
      </c>
      <c r="V198">
        <f t="shared" si="54"/>
        <v>0</v>
      </c>
      <c r="W198">
        <f t="shared" si="43"/>
        <v>0</v>
      </c>
      <c r="X198" t="s">
        <v>613</v>
      </c>
      <c r="Y198" t="s">
        <v>222</v>
      </c>
      <c r="Z198" s="3" t="s">
        <v>614</v>
      </c>
      <c r="AA198" t="s">
        <v>602</v>
      </c>
      <c r="AB198">
        <v>23</v>
      </c>
      <c r="AC198" s="8" t="s">
        <v>1071</v>
      </c>
      <c r="AD198" s="8"/>
      <c r="AE198" s="8">
        <v>175</v>
      </c>
      <c r="AF198" s="8"/>
      <c r="AG198" s="8" t="s">
        <v>1036</v>
      </c>
      <c r="AH198" s="8" t="s">
        <v>1032</v>
      </c>
      <c r="AI198" s="33">
        <v>0.47</v>
      </c>
    </row>
    <row r="199" spans="1:41" x14ac:dyDescent="0.25">
      <c r="C199" t="s">
        <v>615</v>
      </c>
      <c r="D199" t="s">
        <v>12</v>
      </c>
      <c r="E199" t="s">
        <v>14</v>
      </c>
      <c r="F199">
        <v>2</v>
      </c>
      <c r="G199">
        <v>272</v>
      </c>
      <c r="H199">
        <v>483.1</v>
      </c>
      <c r="I199">
        <v>56.3</v>
      </c>
      <c r="L199">
        <f t="shared" si="45"/>
        <v>0</v>
      </c>
      <c r="M199">
        <f t="shared" si="55"/>
        <v>0</v>
      </c>
      <c r="N199">
        <f t="shared" si="53"/>
        <v>0</v>
      </c>
      <c r="O199">
        <f t="shared" si="47"/>
        <v>0</v>
      </c>
      <c r="P199">
        <f t="shared" si="48"/>
        <v>0</v>
      </c>
      <c r="Q199">
        <f t="shared" si="49"/>
        <v>0</v>
      </c>
      <c r="R199">
        <f t="shared" si="44"/>
        <v>0</v>
      </c>
      <c r="S199">
        <f t="shared" si="51"/>
        <v>0</v>
      </c>
      <c r="T199">
        <f t="shared" si="50"/>
        <v>0</v>
      </c>
      <c r="U199">
        <f t="shared" si="41"/>
        <v>0</v>
      </c>
      <c r="V199">
        <f t="shared" si="54"/>
        <v>0</v>
      </c>
      <c r="W199">
        <f t="shared" si="43"/>
        <v>0</v>
      </c>
      <c r="X199" t="s">
        <v>616</v>
      </c>
      <c r="Y199" t="s">
        <v>229</v>
      </c>
      <c r="Z199" s="3" t="s">
        <v>614</v>
      </c>
      <c r="AA199" t="s">
        <v>606</v>
      </c>
      <c r="AB199">
        <v>23</v>
      </c>
      <c r="AC199" s="8" t="s">
        <v>1071</v>
      </c>
      <c r="AD199" s="8"/>
      <c r="AE199" s="8">
        <v>175</v>
      </c>
      <c r="AF199" s="8"/>
      <c r="AG199" s="8" t="s">
        <v>1036</v>
      </c>
      <c r="AH199" s="8" t="s">
        <v>1032</v>
      </c>
      <c r="AI199" s="33">
        <v>0.47</v>
      </c>
    </row>
    <row r="200" spans="1:41" x14ac:dyDescent="0.25">
      <c r="C200" t="s">
        <v>617</v>
      </c>
      <c r="D200" t="s">
        <v>12</v>
      </c>
      <c r="E200" t="s">
        <v>14</v>
      </c>
      <c r="F200">
        <v>2</v>
      </c>
      <c r="G200">
        <v>304.5</v>
      </c>
      <c r="H200">
        <v>561.4</v>
      </c>
      <c r="I200">
        <v>54.2</v>
      </c>
      <c r="L200">
        <f t="shared" si="45"/>
        <v>0</v>
      </c>
      <c r="M200">
        <f t="shared" si="55"/>
        <v>0</v>
      </c>
      <c r="N200">
        <f t="shared" si="53"/>
        <v>0</v>
      </c>
      <c r="O200">
        <f t="shared" si="47"/>
        <v>0</v>
      </c>
      <c r="P200">
        <f t="shared" si="48"/>
        <v>0</v>
      </c>
      <c r="Q200">
        <f t="shared" si="49"/>
        <v>0</v>
      </c>
      <c r="R200">
        <f t="shared" si="44"/>
        <v>0</v>
      </c>
      <c r="S200">
        <f t="shared" si="51"/>
        <v>0</v>
      </c>
      <c r="T200">
        <f t="shared" si="50"/>
        <v>0</v>
      </c>
      <c r="U200">
        <f t="shared" si="41"/>
        <v>0</v>
      </c>
      <c r="V200">
        <f t="shared" si="54"/>
        <v>0</v>
      </c>
      <c r="W200">
        <f t="shared" si="43"/>
        <v>0</v>
      </c>
      <c r="X200" t="s">
        <v>618</v>
      </c>
      <c r="Y200" t="s">
        <v>229</v>
      </c>
      <c r="Z200" s="3" t="s">
        <v>619</v>
      </c>
      <c r="AA200" t="s">
        <v>611</v>
      </c>
      <c r="AB200">
        <v>23</v>
      </c>
      <c r="AC200" s="8" t="s">
        <v>1071</v>
      </c>
      <c r="AD200" s="8"/>
      <c r="AE200" s="8">
        <v>175</v>
      </c>
      <c r="AF200" s="8"/>
      <c r="AG200" s="8" t="s">
        <v>1036</v>
      </c>
      <c r="AH200" s="8" t="s">
        <v>1032</v>
      </c>
      <c r="AI200" s="33">
        <v>0.47</v>
      </c>
    </row>
    <row r="201" spans="1:41" x14ac:dyDescent="0.25">
      <c r="C201" t="s">
        <v>620</v>
      </c>
      <c r="D201" t="s">
        <v>12</v>
      </c>
      <c r="E201" t="s">
        <v>14</v>
      </c>
      <c r="F201">
        <v>2</v>
      </c>
      <c r="G201">
        <v>352.5</v>
      </c>
      <c r="H201">
        <v>617.70000000000005</v>
      </c>
      <c r="I201">
        <v>57.1</v>
      </c>
      <c r="K201" t="s">
        <v>180</v>
      </c>
      <c r="L201">
        <f t="shared" si="45"/>
        <v>1</v>
      </c>
      <c r="M201">
        <f t="shared" si="55"/>
        <v>0</v>
      </c>
      <c r="N201">
        <f t="shared" si="53"/>
        <v>0</v>
      </c>
      <c r="O201">
        <f t="shared" si="47"/>
        <v>0</v>
      </c>
      <c r="P201">
        <f t="shared" si="48"/>
        <v>0</v>
      </c>
      <c r="Q201">
        <f t="shared" si="49"/>
        <v>0</v>
      </c>
      <c r="R201">
        <f t="shared" si="44"/>
        <v>0</v>
      </c>
      <c r="S201">
        <f t="shared" si="51"/>
        <v>0</v>
      </c>
      <c r="T201">
        <f t="shared" si="50"/>
        <v>0</v>
      </c>
      <c r="U201">
        <f t="shared" si="41"/>
        <v>0</v>
      </c>
      <c r="V201">
        <f t="shared" si="54"/>
        <v>0</v>
      </c>
      <c r="W201">
        <f t="shared" si="43"/>
        <v>1</v>
      </c>
      <c r="X201" t="s">
        <v>621</v>
      </c>
      <c r="Y201" t="s">
        <v>622</v>
      </c>
      <c r="Z201" s="3" t="s">
        <v>56</v>
      </c>
      <c r="AA201" t="s">
        <v>623</v>
      </c>
      <c r="AB201">
        <v>23</v>
      </c>
      <c r="AC201" s="8" t="s">
        <v>1071</v>
      </c>
      <c r="AD201" s="8"/>
      <c r="AE201" s="8">
        <v>175</v>
      </c>
      <c r="AF201" s="8"/>
      <c r="AG201" s="8" t="s">
        <v>1036</v>
      </c>
      <c r="AH201" s="8" t="s">
        <v>1032</v>
      </c>
      <c r="AI201" s="33">
        <v>0.47</v>
      </c>
    </row>
    <row r="202" spans="1:41" x14ac:dyDescent="0.25">
      <c r="C202" t="s">
        <v>624</v>
      </c>
      <c r="D202" t="s">
        <v>12</v>
      </c>
      <c r="E202" t="s">
        <v>14</v>
      </c>
      <c r="F202">
        <v>2</v>
      </c>
      <c r="G202">
        <v>345.5</v>
      </c>
      <c r="H202">
        <v>611.6</v>
      </c>
      <c r="I202">
        <v>56.5</v>
      </c>
      <c r="L202">
        <f t="shared" si="45"/>
        <v>0</v>
      </c>
      <c r="M202">
        <f t="shared" si="55"/>
        <v>0</v>
      </c>
      <c r="N202">
        <f t="shared" si="53"/>
        <v>0</v>
      </c>
      <c r="O202">
        <f t="shared" si="47"/>
        <v>0</v>
      </c>
      <c r="P202">
        <f t="shared" si="48"/>
        <v>0</v>
      </c>
      <c r="Q202">
        <f t="shared" si="49"/>
        <v>0</v>
      </c>
      <c r="R202">
        <f t="shared" si="44"/>
        <v>0</v>
      </c>
      <c r="S202">
        <f t="shared" si="51"/>
        <v>0</v>
      </c>
      <c r="T202">
        <f t="shared" si="50"/>
        <v>0</v>
      </c>
      <c r="U202">
        <f t="shared" ref="U202:U265" si="56">IF(K202="Pyogenic Lesions", 1, 0)</f>
        <v>0</v>
      </c>
      <c r="V202">
        <f t="shared" si="54"/>
        <v>0</v>
      </c>
      <c r="W202">
        <f t="shared" si="43"/>
        <v>0</v>
      </c>
      <c r="X202" t="s">
        <v>625</v>
      </c>
      <c r="Y202" t="s">
        <v>626</v>
      </c>
      <c r="Z202" s="3" t="s">
        <v>627</v>
      </c>
      <c r="AA202" t="s">
        <v>628</v>
      </c>
      <c r="AB202">
        <v>23</v>
      </c>
      <c r="AC202" s="8" t="s">
        <v>1071</v>
      </c>
      <c r="AD202" s="8"/>
      <c r="AE202" s="8">
        <v>175</v>
      </c>
      <c r="AF202" s="8"/>
      <c r="AG202" s="8" t="s">
        <v>1036</v>
      </c>
      <c r="AH202" s="8" t="s">
        <v>1032</v>
      </c>
      <c r="AI202" s="33">
        <v>0.47</v>
      </c>
    </row>
    <row r="203" spans="1:41" x14ac:dyDescent="0.25">
      <c r="C203" t="s">
        <v>629</v>
      </c>
      <c r="D203" t="s">
        <v>12</v>
      </c>
      <c r="E203" t="s">
        <v>14</v>
      </c>
      <c r="F203">
        <v>2</v>
      </c>
      <c r="G203">
        <v>312</v>
      </c>
      <c r="H203">
        <v>570.5</v>
      </c>
      <c r="I203">
        <v>54.7</v>
      </c>
      <c r="L203">
        <f t="shared" si="45"/>
        <v>0</v>
      </c>
      <c r="M203">
        <f t="shared" si="55"/>
        <v>0</v>
      </c>
      <c r="N203">
        <f t="shared" si="53"/>
        <v>0</v>
      </c>
      <c r="O203">
        <f t="shared" si="47"/>
        <v>0</v>
      </c>
      <c r="P203">
        <f t="shared" si="48"/>
        <v>0</v>
      </c>
      <c r="Q203">
        <f t="shared" si="49"/>
        <v>0</v>
      </c>
      <c r="R203">
        <f t="shared" si="44"/>
        <v>0</v>
      </c>
      <c r="S203">
        <f t="shared" si="51"/>
        <v>0</v>
      </c>
      <c r="T203">
        <f t="shared" si="50"/>
        <v>0</v>
      </c>
      <c r="U203">
        <f t="shared" si="56"/>
        <v>0</v>
      </c>
      <c r="V203">
        <f t="shared" si="54"/>
        <v>0</v>
      </c>
      <c r="W203">
        <f t="shared" si="43"/>
        <v>0</v>
      </c>
      <c r="X203" t="s">
        <v>630</v>
      </c>
      <c r="Y203" t="s">
        <v>631</v>
      </c>
      <c r="Z203" s="3" t="s">
        <v>632</v>
      </c>
      <c r="AA203" t="s">
        <v>633</v>
      </c>
      <c r="AB203">
        <v>23</v>
      </c>
      <c r="AC203" s="8" t="s">
        <v>1071</v>
      </c>
      <c r="AD203" s="8"/>
      <c r="AE203" s="8">
        <v>175</v>
      </c>
      <c r="AF203" s="8"/>
      <c r="AG203" s="8" t="s">
        <v>1036</v>
      </c>
      <c r="AH203" s="8" t="s">
        <v>1032</v>
      </c>
      <c r="AI203" s="33">
        <v>0.47</v>
      </c>
    </row>
    <row r="204" spans="1:41" x14ac:dyDescent="0.25">
      <c r="C204" t="s">
        <v>634</v>
      </c>
      <c r="D204" t="s">
        <v>12</v>
      </c>
      <c r="E204" t="s">
        <v>14</v>
      </c>
      <c r="F204">
        <v>2</v>
      </c>
      <c r="G204">
        <v>293</v>
      </c>
      <c r="H204">
        <v>518.1</v>
      </c>
      <c r="I204">
        <v>56.6</v>
      </c>
      <c r="L204">
        <f t="shared" si="45"/>
        <v>0</v>
      </c>
      <c r="M204">
        <f t="shared" si="55"/>
        <v>0</v>
      </c>
      <c r="N204">
        <f t="shared" si="53"/>
        <v>0</v>
      </c>
      <c r="O204">
        <f t="shared" si="47"/>
        <v>0</v>
      </c>
      <c r="P204">
        <f t="shared" si="48"/>
        <v>0</v>
      </c>
      <c r="Q204">
        <f t="shared" si="49"/>
        <v>0</v>
      </c>
      <c r="R204">
        <f t="shared" si="44"/>
        <v>0</v>
      </c>
      <c r="S204">
        <f t="shared" si="51"/>
        <v>0</v>
      </c>
      <c r="T204">
        <f t="shared" si="50"/>
        <v>0</v>
      </c>
      <c r="U204">
        <f t="shared" si="56"/>
        <v>0</v>
      </c>
      <c r="V204">
        <f t="shared" si="54"/>
        <v>0</v>
      </c>
      <c r="W204">
        <f t="shared" si="43"/>
        <v>0</v>
      </c>
      <c r="X204" t="s">
        <v>635</v>
      </c>
      <c r="Y204" t="s">
        <v>636</v>
      </c>
      <c r="Z204" s="3" t="s">
        <v>637</v>
      </c>
      <c r="AA204" t="s">
        <v>623</v>
      </c>
      <c r="AB204">
        <v>23</v>
      </c>
      <c r="AC204" s="8" t="s">
        <v>1071</v>
      </c>
      <c r="AD204" s="8"/>
      <c r="AE204" s="8">
        <v>175</v>
      </c>
      <c r="AF204" s="8"/>
      <c r="AG204" s="8" t="s">
        <v>1036</v>
      </c>
      <c r="AH204" s="8" t="s">
        <v>1032</v>
      </c>
      <c r="AI204" s="33">
        <v>0.47</v>
      </c>
    </row>
    <row r="205" spans="1:41" x14ac:dyDescent="0.25">
      <c r="C205" t="s">
        <v>638</v>
      </c>
      <c r="D205" t="s">
        <v>12</v>
      </c>
      <c r="E205" t="s">
        <v>14</v>
      </c>
      <c r="F205">
        <v>2</v>
      </c>
      <c r="G205">
        <v>321.5</v>
      </c>
      <c r="H205">
        <v>583.20000000000005</v>
      </c>
      <c r="I205">
        <v>55.1</v>
      </c>
      <c r="L205">
        <f t="shared" si="45"/>
        <v>0</v>
      </c>
      <c r="M205">
        <f t="shared" si="55"/>
        <v>0</v>
      </c>
      <c r="N205">
        <f t="shared" si="53"/>
        <v>0</v>
      </c>
      <c r="O205">
        <f t="shared" si="47"/>
        <v>0</v>
      </c>
      <c r="P205">
        <f t="shared" si="48"/>
        <v>0</v>
      </c>
      <c r="Q205">
        <f t="shared" si="49"/>
        <v>0</v>
      </c>
      <c r="R205">
        <f t="shared" si="44"/>
        <v>0</v>
      </c>
      <c r="S205">
        <f t="shared" si="51"/>
        <v>0</v>
      </c>
      <c r="T205">
        <f t="shared" si="50"/>
        <v>0</v>
      </c>
      <c r="U205">
        <f t="shared" si="56"/>
        <v>0</v>
      </c>
      <c r="V205">
        <f t="shared" si="54"/>
        <v>0</v>
      </c>
      <c r="W205">
        <f t="shared" si="43"/>
        <v>0</v>
      </c>
      <c r="X205" t="s">
        <v>639</v>
      </c>
      <c r="Y205" t="s">
        <v>640</v>
      </c>
      <c r="Z205" s="3" t="s">
        <v>641</v>
      </c>
      <c r="AA205" t="s">
        <v>623</v>
      </c>
      <c r="AB205">
        <v>23</v>
      </c>
      <c r="AC205" s="8" t="s">
        <v>1071</v>
      </c>
      <c r="AD205" s="8"/>
      <c r="AE205" s="8">
        <v>175</v>
      </c>
      <c r="AF205" s="8"/>
      <c r="AG205" s="8" t="s">
        <v>1036</v>
      </c>
      <c r="AH205" s="8" t="s">
        <v>1032</v>
      </c>
      <c r="AI205" s="33">
        <v>0.47</v>
      </c>
    </row>
    <row r="206" spans="1:41" x14ac:dyDescent="0.25">
      <c r="C206" t="s">
        <v>642</v>
      </c>
      <c r="D206" t="s">
        <v>12</v>
      </c>
      <c r="E206" t="s">
        <v>14</v>
      </c>
      <c r="F206">
        <v>2</v>
      </c>
      <c r="G206">
        <v>346</v>
      </c>
      <c r="H206">
        <v>624.79999999999995</v>
      </c>
      <c r="I206">
        <v>55.4</v>
      </c>
      <c r="K206" t="s">
        <v>41</v>
      </c>
      <c r="L206">
        <f t="shared" si="45"/>
        <v>1</v>
      </c>
      <c r="M206">
        <f t="shared" si="55"/>
        <v>0</v>
      </c>
      <c r="N206">
        <f t="shared" si="53"/>
        <v>0</v>
      </c>
      <c r="O206">
        <f t="shared" si="47"/>
        <v>0</v>
      </c>
      <c r="P206">
        <f t="shared" si="48"/>
        <v>0</v>
      </c>
      <c r="Q206">
        <f t="shared" si="49"/>
        <v>1</v>
      </c>
      <c r="R206">
        <f t="shared" si="44"/>
        <v>0</v>
      </c>
      <c r="S206">
        <f t="shared" si="51"/>
        <v>0</v>
      </c>
      <c r="T206">
        <f t="shared" si="50"/>
        <v>0</v>
      </c>
      <c r="U206">
        <f t="shared" si="56"/>
        <v>0</v>
      </c>
      <c r="V206">
        <f t="shared" si="54"/>
        <v>0</v>
      </c>
      <c r="W206">
        <f t="shared" ref="W206:W269" si="57">IF(K206="Other", 1, 0)</f>
        <v>0</v>
      </c>
      <c r="X206" t="s">
        <v>643</v>
      </c>
      <c r="Y206" t="s">
        <v>644</v>
      </c>
      <c r="Z206" s="3" t="s">
        <v>88</v>
      </c>
      <c r="AA206" t="s">
        <v>623</v>
      </c>
      <c r="AB206">
        <v>23</v>
      </c>
      <c r="AC206" s="8" t="s">
        <v>1071</v>
      </c>
      <c r="AD206" s="8"/>
      <c r="AE206" s="8">
        <v>175</v>
      </c>
      <c r="AF206" s="8"/>
      <c r="AG206" s="8" t="s">
        <v>1036</v>
      </c>
      <c r="AH206" s="8" t="s">
        <v>1032</v>
      </c>
      <c r="AI206" s="33">
        <v>0.47</v>
      </c>
    </row>
    <row r="207" spans="1:41" x14ac:dyDescent="0.25">
      <c r="C207" t="s">
        <v>645</v>
      </c>
      <c r="D207" t="s">
        <v>12</v>
      </c>
      <c r="E207" t="s">
        <v>14</v>
      </c>
      <c r="F207">
        <v>2</v>
      </c>
      <c r="G207">
        <v>328.5</v>
      </c>
      <c r="H207">
        <v>596.9</v>
      </c>
      <c r="I207">
        <v>55</v>
      </c>
      <c r="L207">
        <f t="shared" si="45"/>
        <v>0</v>
      </c>
      <c r="M207">
        <f t="shared" si="55"/>
        <v>0</v>
      </c>
      <c r="N207">
        <f t="shared" si="53"/>
        <v>0</v>
      </c>
      <c r="O207">
        <f t="shared" si="47"/>
        <v>0</v>
      </c>
      <c r="P207">
        <f t="shared" si="48"/>
        <v>0</v>
      </c>
      <c r="Q207">
        <f t="shared" si="49"/>
        <v>0</v>
      </c>
      <c r="R207">
        <f t="shared" ref="R207:R270" si="58">IF(K207="SRM", 1, 0)</f>
        <v>0</v>
      </c>
      <c r="S207">
        <f t="shared" si="51"/>
        <v>0</v>
      </c>
      <c r="T207">
        <f t="shared" si="50"/>
        <v>0</v>
      </c>
      <c r="U207">
        <f t="shared" si="56"/>
        <v>0</v>
      </c>
      <c r="V207">
        <f t="shared" si="54"/>
        <v>0</v>
      </c>
      <c r="W207">
        <f t="shared" si="57"/>
        <v>0</v>
      </c>
      <c r="X207" t="s">
        <v>646</v>
      </c>
      <c r="Y207" t="s">
        <v>644</v>
      </c>
      <c r="Z207" s="3" t="s">
        <v>470</v>
      </c>
      <c r="AA207" t="s">
        <v>647</v>
      </c>
      <c r="AB207">
        <v>23</v>
      </c>
      <c r="AC207" s="8" t="s">
        <v>1071</v>
      </c>
      <c r="AD207" s="8"/>
      <c r="AE207" s="8">
        <v>175</v>
      </c>
      <c r="AF207" s="8"/>
      <c r="AG207" s="8" t="s">
        <v>1036</v>
      </c>
      <c r="AH207" s="8" t="s">
        <v>1032</v>
      </c>
      <c r="AI207" s="33">
        <v>0.47</v>
      </c>
    </row>
    <row r="208" spans="1:41" x14ac:dyDescent="0.25">
      <c r="C208" t="s">
        <v>648</v>
      </c>
      <c r="D208" t="s">
        <v>12</v>
      </c>
      <c r="E208" t="s">
        <v>14</v>
      </c>
      <c r="F208">
        <v>2</v>
      </c>
      <c r="G208">
        <v>289.5</v>
      </c>
      <c r="H208">
        <v>539.29999999999995</v>
      </c>
      <c r="I208">
        <v>53.7</v>
      </c>
      <c r="L208">
        <f t="shared" si="45"/>
        <v>0</v>
      </c>
      <c r="M208">
        <f t="shared" si="55"/>
        <v>0</v>
      </c>
      <c r="N208">
        <f t="shared" si="53"/>
        <v>0</v>
      </c>
      <c r="O208">
        <f t="shared" si="47"/>
        <v>0</v>
      </c>
      <c r="P208">
        <f t="shared" si="48"/>
        <v>0</v>
      </c>
      <c r="Q208">
        <f t="shared" si="49"/>
        <v>0</v>
      </c>
      <c r="R208">
        <f t="shared" si="58"/>
        <v>0</v>
      </c>
      <c r="S208">
        <f t="shared" si="51"/>
        <v>0</v>
      </c>
      <c r="T208">
        <f t="shared" si="50"/>
        <v>0</v>
      </c>
      <c r="U208">
        <f t="shared" si="56"/>
        <v>0</v>
      </c>
      <c r="V208">
        <f t="shared" si="54"/>
        <v>0</v>
      </c>
      <c r="W208">
        <f t="shared" si="57"/>
        <v>0</v>
      </c>
      <c r="X208" t="s">
        <v>649</v>
      </c>
      <c r="Y208" t="s">
        <v>650</v>
      </c>
      <c r="Z208" s="3" t="s">
        <v>473</v>
      </c>
      <c r="AA208" t="s">
        <v>633</v>
      </c>
      <c r="AB208">
        <v>23</v>
      </c>
      <c r="AC208" s="8" t="s">
        <v>1071</v>
      </c>
      <c r="AD208" s="8"/>
      <c r="AE208" s="8">
        <v>175</v>
      </c>
      <c r="AF208" s="8"/>
      <c r="AG208" s="8" t="s">
        <v>1036</v>
      </c>
      <c r="AH208" s="8" t="s">
        <v>1032</v>
      </c>
      <c r="AI208" s="33">
        <v>0.47</v>
      </c>
    </row>
    <row r="209" spans="3:35" x14ac:dyDescent="0.25">
      <c r="C209" t="s">
        <v>651</v>
      </c>
      <c r="D209" t="s">
        <v>12</v>
      </c>
      <c r="E209" t="s">
        <v>14</v>
      </c>
      <c r="F209">
        <v>4</v>
      </c>
      <c r="G209">
        <v>341</v>
      </c>
      <c r="H209">
        <v>605.4</v>
      </c>
      <c r="I209">
        <v>56.3</v>
      </c>
      <c r="L209">
        <f t="shared" si="45"/>
        <v>0</v>
      </c>
      <c r="M209">
        <f t="shared" si="55"/>
        <v>0</v>
      </c>
      <c r="N209">
        <f t="shared" si="53"/>
        <v>0</v>
      </c>
      <c r="O209">
        <f t="shared" si="47"/>
        <v>0</v>
      </c>
      <c r="P209">
        <f t="shared" si="48"/>
        <v>0</v>
      </c>
      <c r="Q209">
        <f t="shared" si="49"/>
        <v>0</v>
      </c>
      <c r="R209">
        <f t="shared" si="58"/>
        <v>0</v>
      </c>
      <c r="S209">
        <f t="shared" si="51"/>
        <v>0</v>
      </c>
      <c r="T209">
        <f t="shared" si="50"/>
        <v>0</v>
      </c>
      <c r="U209">
        <f t="shared" si="56"/>
        <v>0</v>
      </c>
      <c r="V209">
        <f t="shared" si="54"/>
        <v>0</v>
      </c>
      <c r="W209">
        <f t="shared" si="57"/>
        <v>0</v>
      </c>
      <c r="X209" t="s">
        <v>652</v>
      </c>
      <c r="Y209" t="s">
        <v>653</v>
      </c>
      <c r="Z209" s="3" t="s">
        <v>473</v>
      </c>
      <c r="AA209" t="s">
        <v>647</v>
      </c>
      <c r="AB209">
        <v>23</v>
      </c>
      <c r="AC209" s="8" t="s">
        <v>1071</v>
      </c>
      <c r="AD209" s="8"/>
      <c r="AE209" s="8">
        <v>175</v>
      </c>
      <c r="AF209" s="8"/>
      <c r="AG209" s="8" t="s">
        <v>1036</v>
      </c>
      <c r="AH209" s="8" t="s">
        <v>1032</v>
      </c>
      <c r="AI209" s="33">
        <v>0.47</v>
      </c>
    </row>
    <row r="210" spans="3:35" x14ac:dyDescent="0.25">
      <c r="C210" t="s">
        <v>654</v>
      </c>
      <c r="D210" t="s">
        <v>12</v>
      </c>
      <c r="E210" t="s">
        <v>14</v>
      </c>
      <c r="F210">
        <v>2</v>
      </c>
      <c r="G210">
        <v>319</v>
      </c>
      <c r="H210">
        <v>583.70000000000005</v>
      </c>
      <c r="I210">
        <v>54.7</v>
      </c>
      <c r="L210">
        <f t="shared" si="45"/>
        <v>0</v>
      </c>
      <c r="M210">
        <f t="shared" si="55"/>
        <v>0</v>
      </c>
      <c r="N210">
        <f t="shared" si="53"/>
        <v>0</v>
      </c>
      <c r="O210">
        <f t="shared" si="47"/>
        <v>0</v>
      </c>
      <c r="P210">
        <f t="shared" si="48"/>
        <v>0</v>
      </c>
      <c r="Q210">
        <f t="shared" si="49"/>
        <v>0</v>
      </c>
      <c r="R210">
        <f t="shared" si="58"/>
        <v>0</v>
      </c>
      <c r="S210">
        <f t="shared" si="51"/>
        <v>0</v>
      </c>
      <c r="T210">
        <f t="shared" si="50"/>
        <v>0</v>
      </c>
      <c r="U210">
        <f t="shared" si="56"/>
        <v>0</v>
      </c>
      <c r="V210">
        <f t="shared" si="54"/>
        <v>0</v>
      </c>
      <c r="W210">
        <f t="shared" si="57"/>
        <v>0</v>
      </c>
      <c r="X210" t="s">
        <v>655</v>
      </c>
      <c r="Y210" t="s">
        <v>656</v>
      </c>
      <c r="Z210" s="3" t="s">
        <v>473</v>
      </c>
      <c r="AA210" t="s">
        <v>628</v>
      </c>
      <c r="AB210">
        <v>23</v>
      </c>
      <c r="AC210" s="8" t="s">
        <v>1071</v>
      </c>
      <c r="AD210" s="8"/>
      <c r="AE210" s="8">
        <v>175</v>
      </c>
      <c r="AF210" s="8"/>
      <c r="AG210" s="8" t="s">
        <v>1036</v>
      </c>
      <c r="AH210" s="8" t="s">
        <v>1032</v>
      </c>
      <c r="AI210" s="33">
        <v>0.47</v>
      </c>
    </row>
    <row r="211" spans="3:35" x14ac:dyDescent="0.25">
      <c r="C211" t="s">
        <v>657</v>
      </c>
      <c r="D211" t="s">
        <v>12</v>
      </c>
      <c r="E211" t="s">
        <v>14</v>
      </c>
      <c r="F211">
        <v>2</v>
      </c>
      <c r="G211">
        <v>339.5</v>
      </c>
      <c r="H211">
        <v>622.20000000000005</v>
      </c>
      <c r="I211">
        <v>54.6</v>
      </c>
      <c r="L211">
        <f t="shared" si="45"/>
        <v>0</v>
      </c>
      <c r="M211">
        <f t="shared" si="55"/>
        <v>0</v>
      </c>
      <c r="N211">
        <f t="shared" si="53"/>
        <v>0</v>
      </c>
      <c r="O211">
        <f t="shared" si="47"/>
        <v>0</v>
      </c>
      <c r="P211">
        <f t="shared" si="48"/>
        <v>0</v>
      </c>
      <c r="Q211">
        <f t="shared" si="49"/>
        <v>0</v>
      </c>
      <c r="R211">
        <f t="shared" si="58"/>
        <v>0</v>
      </c>
      <c r="S211">
        <f t="shared" si="51"/>
        <v>0</v>
      </c>
      <c r="T211">
        <f t="shared" si="50"/>
        <v>0</v>
      </c>
      <c r="U211">
        <f t="shared" si="56"/>
        <v>0</v>
      </c>
      <c r="V211">
        <f t="shared" si="54"/>
        <v>0</v>
      </c>
      <c r="W211">
        <f t="shared" si="57"/>
        <v>0</v>
      </c>
      <c r="X211" t="s">
        <v>658</v>
      </c>
      <c r="Y211" t="s">
        <v>659</v>
      </c>
      <c r="Z211" s="3" t="s">
        <v>473</v>
      </c>
      <c r="AA211" t="s">
        <v>606</v>
      </c>
      <c r="AB211">
        <v>23</v>
      </c>
      <c r="AC211" s="8" t="s">
        <v>1071</v>
      </c>
      <c r="AD211" s="8"/>
      <c r="AE211" s="8">
        <v>175</v>
      </c>
      <c r="AF211" s="8"/>
      <c r="AG211" s="8" t="s">
        <v>1036</v>
      </c>
      <c r="AH211" s="8" t="s">
        <v>1032</v>
      </c>
      <c r="AI211" s="33">
        <v>0.47</v>
      </c>
    </row>
    <row r="212" spans="3:35" x14ac:dyDescent="0.25">
      <c r="C212" t="s">
        <v>660</v>
      </c>
      <c r="D212" t="s">
        <v>12</v>
      </c>
      <c r="E212" t="s">
        <v>14</v>
      </c>
      <c r="F212">
        <v>2</v>
      </c>
      <c r="G212">
        <v>343</v>
      </c>
      <c r="H212">
        <v>610.5</v>
      </c>
      <c r="I212">
        <v>56.2</v>
      </c>
      <c r="K212" t="s">
        <v>180</v>
      </c>
      <c r="L212">
        <f t="shared" si="45"/>
        <v>1</v>
      </c>
      <c r="M212">
        <f t="shared" si="55"/>
        <v>0</v>
      </c>
      <c r="N212">
        <f t="shared" si="53"/>
        <v>0</v>
      </c>
      <c r="O212">
        <f t="shared" si="47"/>
        <v>0</v>
      </c>
      <c r="P212">
        <f t="shared" si="48"/>
        <v>0</v>
      </c>
      <c r="Q212">
        <f t="shared" si="49"/>
        <v>0</v>
      </c>
      <c r="R212">
        <f t="shared" si="58"/>
        <v>0</v>
      </c>
      <c r="S212">
        <f t="shared" si="51"/>
        <v>0</v>
      </c>
      <c r="T212">
        <f t="shared" si="50"/>
        <v>0</v>
      </c>
      <c r="U212">
        <f t="shared" si="56"/>
        <v>0</v>
      </c>
      <c r="V212">
        <f t="shared" si="54"/>
        <v>0</v>
      </c>
      <c r="W212">
        <f t="shared" si="57"/>
        <v>1</v>
      </c>
      <c r="X212" t="s">
        <v>661</v>
      </c>
      <c r="Y212" t="s">
        <v>662</v>
      </c>
      <c r="Z212" s="3" t="s">
        <v>88</v>
      </c>
      <c r="AA212" t="s">
        <v>602</v>
      </c>
      <c r="AB212">
        <v>23</v>
      </c>
      <c r="AC212" s="8" t="s">
        <v>1071</v>
      </c>
      <c r="AD212" s="8"/>
      <c r="AE212" s="8">
        <v>175</v>
      </c>
      <c r="AF212" s="8"/>
      <c r="AG212" s="8" t="s">
        <v>1036</v>
      </c>
      <c r="AH212" s="8" t="s">
        <v>1032</v>
      </c>
      <c r="AI212" s="33">
        <v>0.47</v>
      </c>
    </row>
    <row r="213" spans="3:35" x14ac:dyDescent="0.25">
      <c r="C213" t="s">
        <v>663</v>
      </c>
      <c r="D213" t="s">
        <v>12</v>
      </c>
      <c r="E213" t="s">
        <v>14</v>
      </c>
      <c r="F213">
        <v>2</v>
      </c>
      <c r="G213">
        <v>325.5</v>
      </c>
      <c r="H213">
        <v>595.79999999999995</v>
      </c>
      <c r="I213">
        <v>54.6</v>
      </c>
      <c r="L213">
        <f t="shared" ref="L213:L276" si="59">M213+N213+O213+P213+Q213+R213+S213+T213+U213+V213+W213</f>
        <v>0</v>
      </c>
      <c r="M213">
        <f t="shared" si="55"/>
        <v>0</v>
      </c>
      <c r="N213">
        <f t="shared" si="53"/>
        <v>0</v>
      </c>
      <c r="O213">
        <f t="shared" si="47"/>
        <v>0</v>
      </c>
      <c r="P213">
        <f t="shared" si="48"/>
        <v>0</v>
      </c>
      <c r="Q213">
        <f t="shared" si="49"/>
        <v>0</v>
      </c>
      <c r="R213">
        <f t="shared" si="58"/>
        <v>0</v>
      </c>
      <c r="S213">
        <f t="shared" si="51"/>
        <v>0</v>
      </c>
      <c r="T213">
        <f t="shared" si="50"/>
        <v>0</v>
      </c>
      <c r="U213">
        <f t="shared" si="56"/>
        <v>0</v>
      </c>
      <c r="V213">
        <f t="shared" si="54"/>
        <v>0</v>
      </c>
      <c r="W213">
        <f t="shared" si="57"/>
        <v>0</v>
      </c>
      <c r="X213" t="s">
        <v>664</v>
      </c>
      <c r="Y213" t="s">
        <v>662</v>
      </c>
      <c r="Z213" s="3" t="s">
        <v>537</v>
      </c>
      <c r="AA213" t="s">
        <v>623</v>
      </c>
      <c r="AB213">
        <v>23</v>
      </c>
      <c r="AC213" s="8" t="s">
        <v>1071</v>
      </c>
      <c r="AD213" s="8"/>
      <c r="AE213" s="8">
        <v>175</v>
      </c>
      <c r="AF213" s="8"/>
      <c r="AG213" s="8" t="s">
        <v>1036</v>
      </c>
      <c r="AH213" s="8" t="s">
        <v>1032</v>
      </c>
      <c r="AI213" s="33">
        <v>0.47</v>
      </c>
    </row>
    <row r="214" spans="3:35" x14ac:dyDescent="0.25">
      <c r="C214" t="s">
        <v>665</v>
      </c>
      <c r="D214" t="s">
        <v>12</v>
      </c>
      <c r="E214" t="s">
        <v>14</v>
      </c>
      <c r="F214">
        <v>2</v>
      </c>
      <c r="G214">
        <v>322</v>
      </c>
      <c r="H214">
        <v>560.20000000000005</v>
      </c>
      <c r="I214">
        <v>57.5</v>
      </c>
      <c r="K214" t="s">
        <v>86</v>
      </c>
      <c r="L214">
        <f t="shared" si="59"/>
        <v>1</v>
      </c>
      <c r="M214">
        <f t="shared" si="55"/>
        <v>0</v>
      </c>
      <c r="N214">
        <f t="shared" ref="N214:N277" si="60">IF(K214="cirrhosis", 1, 0)</f>
        <v>0</v>
      </c>
      <c r="O214">
        <f t="shared" ref="O214:O277" si="61">IF(K214="bruised", 1, 0)</f>
        <v>1</v>
      </c>
      <c r="P214">
        <f t="shared" ref="P214:P277" si="62">IF(K214="inoculation", 1, 0)</f>
        <v>0</v>
      </c>
      <c r="Q214">
        <f t="shared" ref="Q214:Q277" si="63">IF(K214="Pleurisy", 1, 0)</f>
        <v>0</v>
      </c>
      <c r="R214">
        <f t="shared" si="58"/>
        <v>0</v>
      </c>
      <c r="S214">
        <f t="shared" si="51"/>
        <v>0</v>
      </c>
      <c r="T214">
        <f t="shared" ref="T214:T277" si="64">IF(J214="Condemned", 1, 0)</f>
        <v>0</v>
      </c>
      <c r="U214">
        <f t="shared" si="56"/>
        <v>0</v>
      </c>
      <c r="V214">
        <f t="shared" si="54"/>
        <v>0</v>
      </c>
      <c r="W214">
        <f t="shared" si="57"/>
        <v>0</v>
      </c>
      <c r="X214" t="s">
        <v>666</v>
      </c>
      <c r="Y214" t="s">
        <v>667</v>
      </c>
      <c r="Z214" s="3" t="s">
        <v>508</v>
      </c>
      <c r="AA214" t="s">
        <v>668</v>
      </c>
      <c r="AB214">
        <v>23</v>
      </c>
      <c r="AC214" s="8" t="s">
        <v>1071</v>
      </c>
      <c r="AD214" s="8"/>
      <c r="AE214" s="8">
        <v>175</v>
      </c>
      <c r="AF214" s="8"/>
      <c r="AG214" s="8" t="s">
        <v>1036</v>
      </c>
      <c r="AH214" s="8" t="s">
        <v>1032</v>
      </c>
      <c r="AI214" s="33">
        <v>0.47</v>
      </c>
    </row>
    <row r="215" spans="3:35" x14ac:dyDescent="0.25">
      <c r="C215" t="s">
        <v>669</v>
      </c>
      <c r="D215" t="s">
        <v>12</v>
      </c>
      <c r="E215" t="s">
        <v>14</v>
      </c>
      <c r="F215">
        <v>2</v>
      </c>
      <c r="G215">
        <v>327.5</v>
      </c>
      <c r="H215">
        <v>569</v>
      </c>
      <c r="I215">
        <v>57.6</v>
      </c>
      <c r="L215">
        <f t="shared" si="59"/>
        <v>0</v>
      </c>
      <c r="M215">
        <f t="shared" si="55"/>
        <v>0</v>
      </c>
      <c r="N215">
        <f t="shared" si="60"/>
        <v>0</v>
      </c>
      <c r="O215">
        <f t="shared" si="61"/>
        <v>0</v>
      </c>
      <c r="P215">
        <f t="shared" si="62"/>
        <v>0</v>
      </c>
      <c r="Q215">
        <f t="shared" si="63"/>
        <v>0</v>
      </c>
      <c r="R215">
        <f t="shared" si="58"/>
        <v>0</v>
      </c>
      <c r="S215">
        <f t="shared" si="51"/>
        <v>0</v>
      </c>
      <c r="T215">
        <f t="shared" si="64"/>
        <v>0</v>
      </c>
      <c r="U215">
        <f t="shared" si="56"/>
        <v>0</v>
      </c>
      <c r="V215">
        <f t="shared" si="54"/>
        <v>0</v>
      </c>
      <c r="W215">
        <f t="shared" si="57"/>
        <v>0</v>
      </c>
      <c r="X215" t="s">
        <v>670</v>
      </c>
      <c r="Y215" t="s">
        <v>667</v>
      </c>
      <c r="Z215" s="3" t="s">
        <v>537</v>
      </c>
      <c r="AA215" t="s">
        <v>606</v>
      </c>
      <c r="AB215">
        <v>23</v>
      </c>
      <c r="AC215" s="8" t="s">
        <v>1071</v>
      </c>
      <c r="AD215" s="8"/>
      <c r="AE215" s="8">
        <v>175</v>
      </c>
      <c r="AF215" s="8"/>
      <c r="AG215" s="8" t="s">
        <v>1036</v>
      </c>
      <c r="AH215" s="8" t="s">
        <v>1032</v>
      </c>
      <c r="AI215" s="33">
        <v>0.47</v>
      </c>
    </row>
    <row r="216" spans="3:35" x14ac:dyDescent="0.25">
      <c r="C216" t="s">
        <v>671</v>
      </c>
      <c r="D216" t="s">
        <v>12</v>
      </c>
      <c r="E216" t="s">
        <v>14</v>
      </c>
      <c r="F216">
        <v>2</v>
      </c>
      <c r="G216">
        <v>330.5</v>
      </c>
      <c r="H216">
        <v>571.1</v>
      </c>
      <c r="I216">
        <v>57.9</v>
      </c>
      <c r="L216">
        <f t="shared" si="59"/>
        <v>0</v>
      </c>
      <c r="M216">
        <f t="shared" si="55"/>
        <v>0</v>
      </c>
      <c r="N216">
        <f t="shared" si="60"/>
        <v>0</v>
      </c>
      <c r="O216">
        <f t="shared" si="61"/>
        <v>0</v>
      </c>
      <c r="P216">
        <f t="shared" si="62"/>
        <v>0</v>
      </c>
      <c r="Q216">
        <f t="shared" si="63"/>
        <v>0</v>
      </c>
      <c r="R216">
        <f t="shared" si="58"/>
        <v>0</v>
      </c>
      <c r="S216">
        <f t="shared" si="51"/>
        <v>0</v>
      </c>
      <c r="T216">
        <f t="shared" si="64"/>
        <v>0</v>
      </c>
      <c r="U216">
        <f t="shared" si="56"/>
        <v>0</v>
      </c>
      <c r="V216">
        <f t="shared" si="54"/>
        <v>0</v>
      </c>
      <c r="W216">
        <f t="shared" si="57"/>
        <v>0</v>
      </c>
      <c r="X216" t="s">
        <v>672</v>
      </c>
      <c r="Y216" t="s">
        <v>673</v>
      </c>
      <c r="Z216" s="3" t="s">
        <v>83</v>
      </c>
      <c r="AA216" t="s">
        <v>668</v>
      </c>
      <c r="AB216">
        <v>23</v>
      </c>
      <c r="AC216" s="8" t="s">
        <v>1071</v>
      </c>
      <c r="AD216" s="8"/>
      <c r="AE216" s="8">
        <v>175</v>
      </c>
      <c r="AF216" s="8"/>
      <c r="AG216" s="8" t="s">
        <v>1036</v>
      </c>
      <c r="AH216" s="8" t="s">
        <v>1032</v>
      </c>
      <c r="AI216" s="33">
        <v>0.47</v>
      </c>
    </row>
    <row r="217" spans="3:35" x14ac:dyDescent="0.25">
      <c r="C217" t="s">
        <v>674</v>
      </c>
      <c r="D217" t="s">
        <v>12</v>
      </c>
      <c r="E217" t="s">
        <v>14</v>
      </c>
      <c r="F217">
        <v>2</v>
      </c>
      <c r="G217">
        <v>290</v>
      </c>
      <c r="H217">
        <v>524</v>
      </c>
      <c r="I217">
        <v>55.3</v>
      </c>
      <c r="L217">
        <f t="shared" si="59"/>
        <v>0</v>
      </c>
      <c r="M217">
        <f t="shared" si="55"/>
        <v>0</v>
      </c>
      <c r="N217">
        <f t="shared" si="60"/>
        <v>0</v>
      </c>
      <c r="O217">
        <f t="shared" si="61"/>
        <v>0</v>
      </c>
      <c r="P217">
        <f t="shared" si="62"/>
        <v>0</v>
      </c>
      <c r="Q217">
        <f t="shared" si="63"/>
        <v>0</v>
      </c>
      <c r="R217">
        <f t="shared" si="58"/>
        <v>0</v>
      </c>
      <c r="S217">
        <f t="shared" si="51"/>
        <v>0</v>
      </c>
      <c r="T217">
        <f t="shared" si="64"/>
        <v>0</v>
      </c>
      <c r="U217">
        <f t="shared" si="56"/>
        <v>0</v>
      </c>
      <c r="V217">
        <f t="shared" si="54"/>
        <v>0</v>
      </c>
      <c r="W217">
        <f t="shared" si="57"/>
        <v>0</v>
      </c>
      <c r="X217" t="s">
        <v>675</v>
      </c>
      <c r="Y217" t="s">
        <v>676</v>
      </c>
      <c r="Z217" s="3" t="s">
        <v>83</v>
      </c>
      <c r="AA217" t="s">
        <v>606</v>
      </c>
      <c r="AB217">
        <v>23</v>
      </c>
      <c r="AC217" s="8" t="s">
        <v>1071</v>
      </c>
      <c r="AD217" s="8"/>
      <c r="AE217" s="8">
        <v>175</v>
      </c>
      <c r="AF217" s="8"/>
      <c r="AG217" s="8" t="s">
        <v>1036</v>
      </c>
      <c r="AH217" s="8" t="s">
        <v>1032</v>
      </c>
      <c r="AI217" s="33">
        <v>0.47</v>
      </c>
    </row>
    <row r="218" spans="3:35" x14ac:dyDescent="0.25">
      <c r="C218" t="s">
        <v>677</v>
      </c>
      <c r="D218" t="s">
        <v>12</v>
      </c>
      <c r="E218" t="s">
        <v>14</v>
      </c>
      <c r="F218">
        <v>2</v>
      </c>
      <c r="G218">
        <v>294.5</v>
      </c>
      <c r="H218">
        <v>524</v>
      </c>
      <c r="I218">
        <v>56.2</v>
      </c>
      <c r="K218" t="s">
        <v>180</v>
      </c>
      <c r="L218">
        <f t="shared" si="59"/>
        <v>1</v>
      </c>
      <c r="M218">
        <f t="shared" si="55"/>
        <v>0</v>
      </c>
      <c r="N218">
        <f t="shared" si="60"/>
        <v>0</v>
      </c>
      <c r="O218">
        <f t="shared" si="61"/>
        <v>0</v>
      </c>
      <c r="P218">
        <f t="shared" si="62"/>
        <v>0</v>
      </c>
      <c r="Q218">
        <f t="shared" si="63"/>
        <v>0</v>
      </c>
      <c r="R218">
        <f t="shared" si="58"/>
        <v>0</v>
      </c>
      <c r="S218">
        <f t="shared" si="51"/>
        <v>0</v>
      </c>
      <c r="T218">
        <f t="shared" si="64"/>
        <v>0</v>
      </c>
      <c r="U218">
        <f t="shared" si="56"/>
        <v>0</v>
      </c>
      <c r="V218">
        <f t="shared" si="54"/>
        <v>0</v>
      </c>
      <c r="W218">
        <f t="shared" si="57"/>
        <v>1</v>
      </c>
      <c r="X218" t="s">
        <v>678</v>
      </c>
      <c r="Y218" t="s">
        <v>679</v>
      </c>
      <c r="Z218" s="3" t="s">
        <v>130</v>
      </c>
      <c r="AA218" t="s">
        <v>623</v>
      </c>
      <c r="AB218">
        <v>23</v>
      </c>
      <c r="AC218" s="8" t="s">
        <v>1071</v>
      </c>
      <c r="AD218" s="8"/>
      <c r="AE218" s="8">
        <v>175</v>
      </c>
      <c r="AF218" s="8"/>
      <c r="AG218" s="8" t="s">
        <v>1036</v>
      </c>
      <c r="AH218" s="8" t="s">
        <v>1032</v>
      </c>
      <c r="AI218" s="33">
        <v>0.47</v>
      </c>
    </row>
    <row r="219" spans="3:35" x14ac:dyDescent="0.25">
      <c r="C219" t="s">
        <v>680</v>
      </c>
      <c r="D219" t="s">
        <v>12</v>
      </c>
      <c r="E219" t="s">
        <v>14</v>
      </c>
      <c r="F219">
        <v>1</v>
      </c>
      <c r="G219">
        <v>339</v>
      </c>
      <c r="H219">
        <v>597.5</v>
      </c>
      <c r="I219">
        <v>56.7</v>
      </c>
      <c r="L219">
        <f t="shared" si="59"/>
        <v>0</v>
      </c>
      <c r="M219">
        <f t="shared" si="55"/>
        <v>0</v>
      </c>
      <c r="N219">
        <f t="shared" si="60"/>
        <v>0</v>
      </c>
      <c r="O219">
        <f t="shared" si="61"/>
        <v>0</v>
      </c>
      <c r="P219">
        <f t="shared" si="62"/>
        <v>0</v>
      </c>
      <c r="Q219">
        <f t="shared" si="63"/>
        <v>0</v>
      </c>
      <c r="R219">
        <f t="shared" si="58"/>
        <v>0</v>
      </c>
      <c r="S219">
        <f t="shared" si="51"/>
        <v>0</v>
      </c>
      <c r="T219">
        <f t="shared" si="64"/>
        <v>0</v>
      </c>
      <c r="U219">
        <f t="shared" si="56"/>
        <v>0</v>
      </c>
      <c r="V219">
        <f t="shared" si="54"/>
        <v>0</v>
      </c>
      <c r="W219">
        <f t="shared" si="57"/>
        <v>0</v>
      </c>
      <c r="X219" t="s">
        <v>681</v>
      </c>
      <c r="Y219" t="s">
        <v>682</v>
      </c>
      <c r="Z219" s="3" t="s">
        <v>508</v>
      </c>
      <c r="AA219" t="s">
        <v>623</v>
      </c>
      <c r="AB219">
        <v>23</v>
      </c>
      <c r="AC219" s="8" t="s">
        <v>1071</v>
      </c>
      <c r="AD219" s="8"/>
      <c r="AE219" s="8">
        <v>175</v>
      </c>
      <c r="AF219" s="8"/>
      <c r="AG219" s="8" t="s">
        <v>1036</v>
      </c>
      <c r="AH219" s="8" t="s">
        <v>1032</v>
      </c>
      <c r="AI219" s="33">
        <v>0.47</v>
      </c>
    </row>
    <row r="220" spans="3:35" x14ac:dyDescent="0.25">
      <c r="C220" t="s">
        <v>683</v>
      </c>
      <c r="D220" t="s">
        <v>12</v>
      </c>
      <c r="E220" t="s">
        <v>14</v>
      </c>
      <c r="F220">
        <v>2</v>
      </c>
      <c r="G220">
        <v>310.5</v>
      </c>
      <c r="H220">
        <v>545.4</v>
      </c>
      <c r="I220">
        <v>56.9</v>
      </c>
      <c r="L220">
        <f t="shared" si="59"/>
        <v>0</v>
      </c>
      <c r="M220">
        <f t="shared" si="55"/>
        <v>0</v>
      </c>
      <c r="N220">
        <f t="shared" si="60"/>
        <v>0</v>
      </c>
      <c r="O220">
        <f t="shared" si="61"/>
        <v>0</v>
      </c>
      <c r="P220">
        <f t="shared" si="62"/>
        <v>0</v>
      </c>
      <c r="Q220">
        <f t="shared" si="63"/>
        <v>0</v>
      </c>
      <c r="R220">
        <f t="shared" si="58"/>
        <v>0</v>
      </c>
      <c r="S220">
        <f t="shared" si="51"/>
        <v>0</v>
      </c>
      <c r="T220">
        <f t="shared" si="64"/>
        <v>0</v>
      </c>
      <c r="U220">
        <f t="shared" si="56"/>
        <v>0</v>
      </c>
      <c r="V220">
        <f t="shared" si="54"/>
        <v>0</v>
      </c>
      <c r="W220">
        <f t="shared" si="57"/>
        <v>0</v>
      </c>
      <c r="X220" t="s">
        <v>684</v>
      </c>
      <c r="Y220" t="s">
        <v>196</v>
      </c>
      <c r="Z220" s="3" t="s">
        <v>109</v>
      </c>
      <c r="AA220" t="s">
        <v>611</v>
      </c>
      <c r="AB220">
        <v>23</v>
      </c>
      <c r="AC220" s="8" t="s">
        <v>1071</v>
      </c>
      <c r="AD220" s="8"/>
      <c r="AE220" s="8">
        <v>175</v>
      </c>
      <c r="AF220" s="8"/>
      <c r="AG220" s="8" t="s">
        <v>1036</v>
      </c>
      <c r="AH220" s="8" t="s">
        <v>1032</v>
      </c>
      <c r="AI220" s="33">
        <v>0.47</v>
      </c>
    </row>
    <row r="221" spans="3:35" x14ac:dyDescent="0.25">
      <c r="C221" t="s">
        <v>685</v>
      </c>
      <c r="D221" t="s">
        <v>12</v>
      </c>
      <c r="E221" t="s">
        <v>14</v>
      </c>
      <c r="F221">
        <v>2</v>
      </c>
      <c r="G221">
        <v>299.5</v>
      </c>
      <c r="H221">
        <v>543.1</v>
      </c>
      <c r="I221">
        <v>55.1</v>
      </c>
      <c r="L221">
        <f t="shared" si="59"/>
        <v>0</v>
      </c>
      <c r="M221">
        <f t="shared" si="55"/>
        <v>0</v>
      </c>
      <c r="N221">
        <f t="shared" si="60"/>
        <v>0</v>
      </c>
      <c r="O221">
        <f t="shared" si="61"/>
        <v>0</v>
      </c>
      <c r="P221">
        <f t="shared" si="62"/>
        <v>0</v>
      </c>
      <c r="Q221">
        <f t="shared" si="63"/>
        <v>0</v>
      </c>
      <c r="R221">
        <f t="shared" si="58"/>
        <v>0</v>
      </c>
      <c r="S221">
        <f t="shared" si="51"/>
        <v>0</v>
      </c>
      <c r="T221">
        <f t="shared" si="64"/>
        <v>0</v>
      </c>
      <c r="U221">
        <f t="shared" si="56"/>
        <v>0</v>
      </c>
      <c r="V221">
        <f t="shared" si="54"/>
        <v>0</v>
      </c>
      <c r="W221">
        <f t="shared" si="57"/>
        <v>0</v>
      </c>
      <c r="X221" t="s">
        <v>686</v>
      </c>
      <c r="Y221" t="s">
        <v>687</v>
      </c>
      <c r="Z221" s="3" t="s">
        <v>118</v>
      </c>
      <c r="AA221" t="s">
        <v>602</v>
      </c>
      <c r="AB221">
        <v>23</v>
      </c>
      <c r="AC221" s="8" t="s">
        <v>1071</v>
      </c>
      <c r="AD221" s="8"/>
      <c r="AE221" s="8">
        <v>175</v>
      </c>
      <c r="AF221" s="8"/>
      <c r="AG221" s="8" t="s">
        <v>1036</v>
      </c>
      <c r="AH221" s="8" t="s">
        <v>1032</v>
      </c>
      <c r="AI221" s="33">
        <v>0.47</v>
      </c>
    </row>
    <row r="222" spans="3:35" x14ac:dyDescent="0.25">
      <c r="C222" t="s">
        <v>688</v>
      </c>
      <c r="D222" t="s">
        <v>12</v>
      </c>
      <c r="E222" t="s">
        <v>14</v>
      </c>
      <c r="F222">
        <v>2</v>
      </c>
      <c r="G222">
        <v>265.5</v>
      </c>
      <c r="H222">
        <v>497.8</v>
      </c>
      <c r="I222">
        <v>53.3</v>
      </c>
      <c r="L222">
        <f t="shared" si="59"/>
        <v>0</v>
      </c>
      <c r="M222">
        <f t="shared" si="55"/>
        <v>0</v>
      </c>
      <c r="N222">
        <f t="shared" si="60"/>
        <v>0</v>
      </c>
      <c r="O222">
        <f t="shared" si="61"/>
        <v>0</v>
      </c>
      <c r="P222">
        <f t="shared" si="62"/>
        <v>0</v>
      </c>
      <c r="Q222">
        <f t="shared" si="63"/>
        <v>0</v>
      </c>
      <c r="R222">
        <f t="shared" si="58"/>
        <v>0</v>
      </c>
      <c r="S222">
        <f t="shared" si="51"/>
        <v>0</v>
      </c>
      <c r="T222">
        <f t="shared" si="64"/>
        <v>0</v>
      </c>
      <c r="U222">
        <f t="shared" si="56"/>
        <v>0</v>
      </c>
      <c r="V222">
        <f t="shared" si="54"/>
        <v>0</v>
      </c>
      <c r="W222">
        <f t="shared" si="57"/>
        <v>0</v>
      </c>
      <c r="X222" t="s">
        <v>689</v>
      </c>
      <c r="Y222" t="s">
        <v>690</v>
      </c>
      <c r="Z222" s="3" t="s">
        <v>118</v>
      </c>
      <c r="AA222" t="s">
        <v>633</v>
      </c>
      <c r="AB222">
        <v>23</v>
      </c>
      <c r="AC222" s="8" t="s">
        <v>1071</v>
      </c>
      <c r="AD222" s="8"/>
      <c r="AE222" s="8">
        <v>175</v>
      </c>
      <c r="AF222" s="8"/>
      <c r="AG222" s="8" t="s">
        <v>1036</v>
      </c>
      <c r="AH222" s="8" t="s">
        <v>1032</v>
      </c>
      <c r="AI222" s="33">
        <v>0.47</v>
      </c>
    </row>
    <row r="223" spans="3:35" x14ac:dyDescent="0.25">
      <c r="C223" t="s">
        <v>431</v>
      </c>
      <c r="D223" t="s">
        <v>12</v>
      </c>
      <c r="E223" t="s">
        <v>14</v>
      </c>
      <c r="F223">
        <v>2</v>
      </c>
      <c r="G223">
        <v>305.5</v>
      </c>
      <c r="H223">
        <v>562.29999999999995</v>
      </c>
      <c r="I223">
        <v>54.3</v>
      </c>
      <c r="L223">
        <f t="shared" si="59"/>
        <v>0</v>
      </c>
      <c r="M223">
        <f t="shared" si="55"/>
        <v>0</v>
      </c>
      <c r="N223">
        <f t="shared" si="60"/>
        <v>0</v>
      </c>
      <c r="O223">
        <f t="shared" si="61"/>
        <v>0</v>
      </c>
      <c r="P223">
        <f t="shared" si="62"/>
        <v>0</v>
      </c>
      <c r="Q223">
        <f t="shared" si="63"/>
        <v>0</v>
      </c>
      <c r="R223">
        <f t="shared" si="58"/>
        <v>0</v>
      </c>
      <c r="S223">
        <f t="shared" si="51"/>
        <v>0</v>
      </c>
      <c r="T223">
        <f t="shared" si="64"/>
        <v>0</v>
      </c>
      <c r="U223">
        <f t="shared" si="56"/>
        <v>0</v>
      </c>
      <c r="V223">
        <f t="shared" si="54"/>
        <v>0</v>
      </c>
      <c r="W223">
        <f t="shared" si="57"/>
        <v>0</v>
      </c>
      <c r="X223" t="s">
        <v>691</v>
      </c>
      <c r="Y223" t="s">
        <v>270</v>
      </c>
      <c r="Z223" s="3" t="s">
        <v>122</v>
      </c>
      <c r="AA223" t="s">
        <v>628</v>
      </c>
      <c r="AB223">
        <v>23</v>
      </c>
      <c r="AC223" s="8" t="s">
        <v>1071</v>
      </c>
      <c r="AD223" s="8"/>
      <c r="AE223" s="8">
        <v>175</v>
      </c>
      <c r="AF223" s="8"/>
      <c r="AG223" s="8" t="s">
        <v>1036</v>
      </c>
      <c r="AH223" s="8" t="s">
        <v>1032</v>
      </c>
      <c r="AI223" s="33">
        <v>0.47</v>
      </c>
    </row>
    <row r="224" spans="3:35" x14ac:dyDescent="0.25">
      <c r="C224" t="s">
        <v>433</v>
      </c>
      <c r="D224" t="s">
        <v>12</v>
      </c>
      <c r="E224" t="s">
        <v>14</v>
      </c>
      <c r="F224">
        <v>2</v>
      </c>
      <c r="G224">
        <v>321</v>
      </c>
      <c r="H224">
        <v>569.29999999999995</v>
      </c>
      <c r="I224">
        <v>56.4</v>
      </c>
      <c r="L224">
        <f t="shared" si="59"/>
        <v>0</v>
      </c>
      <c r="M224">
        <f t="shared" si="55"/>
        <v>0</v>
      </c>
      <c r="N224">
        <f t="shared" si="60"/>
        <v>0</v>
      </c>
      <c r="O224">
        <f t="shared" si="61"/>
        <v>0</v>
      </c>
      <c r="P224">
        <f t="shared" si="62"/>
        <v>0</v>
      </c>
      <c r="Q224">
        <f t="shared" si="63"/>
        <v>0</v>
      </c>
      <c r="R224">
        <f t="shared" si="58"/>
        <v>0</v>
      </c>
      <c r="S224">
        <f t="shared" si="51"/>
        <v>0</v>
      </c>
      <c r="T224">
        <f t="shared" si="64"/>
        <v>0</v>
      </c>
      <c r="U224">
        <f t="shared" si="56"/>
        <v>0</v>
      </c>
      <c r="V224">
        <f t="shared" si="54"/>
        <v>0</v>
      </c>
      <c r="W224">
        <f t="shared" si="57"/>
        <v>0</v>
      </c>
      <c r="X224" t="s">
        <v>692</v>
      </c>
      <c r="Y224" t="s">
        <v>274</v>
      </c>
      <c r="Z224" s="3" t="s">
        <v>126</v>
      </c>
      <c r="AA224" t="s">
        <v>623</v>
      </c>
      <c r="AB224">
        <v>23</v>
      </c>
      <c r="AC224" s="8" t="s">
        <v>1071</v>
      </c>
      <c r="AD224" s="8"/>
      <c r="AE224" s="8">
        <v>175</v>
      </c>
      <c r="AF224" s="8"/>
      <c r="AG224" s="8" t="s">
        <v>1036</v>
      </c>
      <c r="AH224" s="8" t="s">
        <v>1032</v>
      </c>
      <c r="AI224" s="33">
        <v>0.47</v>
      </c>
    </row>
    <row r="225" spans="1:35" x14ac:dyDescent="0.25">
      <c r="C225" t="s">
        <v>436</v>
      </c>
      <c r="D225" t="s">
        <v>12</v>
      </c>
      <c r="E225" t="s">
        <v>14</v>
      </c>
      <c r="F225">
        <v>2</v>
      </c>
      <c r="G225">
        <v>300</v>
      </c>
      <c r="H225">
        <v>552.29999999999995</v>
      </c>
      <c r="I225">
        <v>54.3</v>
      </c>
      <c r="L225">
        <f t="shared" si="59"/>
        <v>0</v>
      </c>
      <c r="M225">
        <f t="shared" si="55"/>
        <v>0</v>
      </c>
      <c r="N225">
        <f t="shared" si="60"/>
        <v>0</v>
      </c>
      <c r="O225">
        <f t="shared" si="61"/>
        <v>0</v>
      </c>
      <c r="P225">
        <f t="shared" si="62"/>
        <v>0</v>
      </c>
      <c r="Q225">
        <f t="shared" si="63"/>
        <v>0</v>
      </c>
      <c r="R225">
        <f t="shared" si="58"/>
        <v>0</v>
      </c>
      <c r="S225">
        <f t="shared" si="51"/>
        <v>0</v>
      </c>
      <c r="T225">
        <f t="shared" si="64"/>
        <v>0</v>
      </c>
      <c r="U225">
        <f t="shared" si="56"/>
        <v>0</v>
      </c>
      <c r="V225">
        <f t="shared" si="54"/>
        <v>0</v>
      </c>
      <c r="W225">
        <f t="shared" si="57"/>
        <v>0</v>
      </c>
      <c r="X225" t="s">
        <v>693</v>
      </c>
      <c r="Y225" t="s">
        <v>277</v>
      </c>
      <c r="Z225" s="3" t="s">
        <v>158</v>
      </c>
      <c r="AA225" t="s">
        <v>611</v>
      </c>
      <c r="AB225">
        <v>23</v>
      </c>
      <c r="AC225" s="8" t="s">
        <v>1071</v>
      </c>
      <c r="AD225" s="8"/>
      <c r="AE225" s="8">
        <v>175</v>
      </c>
      <c r="AF225" s="8"/>
      <c r="AG225" s="8" t="s">
        <v>1036</v>
      </c>
      <c r="AH225" s="8" t="s">
        <v>1032</v>
      </c>
      <c r="AI225" s="33">
        <v>0.47</v>
      </c>
    </row>
    <row r="226" spans="1:35" x14ac:dyDescent="0.25">
      <c r="C226" t="s">
        <v>439</v>
      </c>
      <c r="D226" t="s">
        <v>12</v>
      </c>
      <c r="E226" t="s">
        <v>14</v>
      </c>
      <c r="F226">
        <v>2</v>
      </c>
      <c r="G226">
        <v>320</v>
      </c>
      <c r="H226">
        <v>560.5</v>
      </c>
      <c r="I226">
        <v>57.1</v>
      </c>
      <c r="L226">
        <f t="shared" si="59"/>
        <v>0</v>
      </c>
      <c r="M226">
        <f t="shared" si="55"/>
        <v>0</v>
      </c>
      <c r="N226">
        <f t="shared" si="60"/>
        <v>0</v>
      </c>
      <c r="O226">
        <f t="shared" si="61"/>
        <v>0</v>
      </c>
      <c r="P226">
        <f t="shared" si="62"/>
        <v>0</v>
      </c>
      <c r="Q226">
        <f t="shared" si="63"/>
        <v>0</v>
      </c>
      <c r="R226">
        <f t="shared" si="58"/>
        <v>0</v>
      </c>
      <c r="S226">
        <f t="shared" si="51"/>
        <v>0</v>
      </c>
      <c r="T226">
        <f t="shared" si="64"/>
        <v>0</v>
      </c>
      <c r="U226">
        <f t="shared" si="56"/>
        <v>0</v>
      </c>
      <c r="V226">
        <f t="shared" si="54"/>
        <v>0</v>
      </c>
      <c r="W226">
        <f t="shared" si="57"/>
        <v>0</v>
      </c>
      <c r="X226" t="s">
        <v>694</v>
      </c>
      <c r="Y226" t="s">
        <v>280</v>
      </c>
      <c r="Z226" s="3" t="s">
        <v>182</v>
      </c>
      <c r="AA226" t="s">
        <v>647</v>
      </c>
      <c r="AB226">
        <v>23</v>
      </c>
      <c r="AC226" s="8" t="s">
        <v>1071</v>
      </c>
      <c r="AD226" s="8"/>
      <c r="AE226" s="8">
        <v>175</v>
      </c>
      <c r="AF226" s="8"/>
      <c r="AG226" s="8" t="s">
        <v>1036</v>
      </c>
      <c r="AH226" s="8" t="s">
        <v>1032</v>
      </c>
      <c r="AI226" s="33">
        <v>0.47</v>
      </c>
    </row>
    <row r="227" spans="1:35" x14ac:dyDescent="0.25">
      <c r="C227" t="s">
        <v>442</v>
      </c>
      <c r="D227" t="s">
        <v>12</v>
      </c>
      <c r="E227" t="s">
        <v>14</v>
      </c>
      <c r="F227">
        <v>2</v>
      </c>
      <c r="G227">
        <v>313.5</v>
      </c>
      <c r="H227">
        <v>585.5</v>
      </c>
      <c r="I227">
        <v>53.5</v>
      </c>
      <c r="L227">
        <f t="shared" si="59"/>
        <v>0</v>
      </c>
      <c r="M227">
        <f t="shared" si="55"/>
        <v>0</v>
      </c>
      <c r="N227">
        <f t="shared" si="60"/>
        <v>0</v>
      </c>
      <c r="O227">
        <f t="shared" si="61"/>
        <v>0</v>
      </c>
      <c r="P227">
        <f t="shared" si="62"/>
        <v>0</v>
      </c>
      <c r="Q227">
        <f t="shared" si="63"/>
        <v>0</v>
      </c>
      <c r="R227">
        <f t="shared" si="58"/>
        <v>0</v>
      </c>
      <c r="S227">
        <f t="shared" si="51"/>
        <v>0</v>
      </c>
      <c r="T227">
        <f t="shared" si="64"/>
        <v>0</v>
      </c>
      <c r="U227">
        <f t="shared" si="56"/>
        <v>0</v>
      </c>
      <c r="V227">
        <f t="shared" si="54"/>
        <v>0</v>
      </c>
      <c r="W227">
        <f t="shared" si="57"/>
        <v>0</v>
      </c>
      <c r="X227" t="s">
        <v>695</v>
      </c>
      <c r="Y227" t="s">
        <v>283</v>
      </c>
      <c r="Z227" s="3" t="s">
        <v>335</v>
      </c>
      <c r="AA227" t="s">
        <v>668</v>
      </c>
      <c r="AB227">
        <v>23</v>
      </c>
      <c r="AC227" s="8" t="s">
        <v>1071</v>
      </c>
      <c r="AD227" s="8"/>
      <c r="AE227" s="8">
        <v>175</v>
      </c>
      <c r="AF227" s="8"/>
      <c r="AG227" s="8" t="s">
        <v>1036</v>
      </c>
      <c r="AH227" s="8" t="s">
        <v>1032</v>
      </c>
      <c r="AI227" s="33">
        <v>0.47</v>
      </c>
    </row>
    <row r="228" spans="1:35" x14ac:dyDescent="0.25">
      <c r="C228" t="s">
        <v>445</v>
      </c>
      <c r="D228" t="s">
        <v>12</v>
      </c>
      <c r="E228" t="s">
        <v>14</v>
      </c>
      <c r="F228">
        <v>2</v>
      </c>
      <c r="G228">
        <v>356.5</v>
      </c>
      <c r="H228">
        <v>651.70000000000005</v>
      </c>
      <c r="I228">
        <v>54.7</v>
      </c>
      <c r="L228">
        <f t="shared" si="59"/>
        <v>0</v>
      </c>
      <c r="M228">
        <f t="shared" si="55"/>
        <v>0</v>
      </c>
      <c r="N228">
        <f t="shared" si="60"/>
        <v>0</v>
      </c>
      <c r="O228">
        <f t="shared" si="61"/>
        <v>0</v>
      </c>
      <c r="P228">
        <f t="shared" si="62"/>
        <v>0</v>
      </c>
      <c r="Q228">
        <f t="shared" si="63"/>
        <v>0</v>
      </c>
      <c r="R228">
        <f t="shared" si="58"/>
        <v>0</v>
      </c>
      <c r="S228">
        <f t="shared" si="51"/>
        <v>0</v>
      </c>
      <c r="T228">
        <f t="shared" si="64"/>
        <v>0</v>
      </c>
      <c r="U228">
        <f t="shared" si="56"/>
        <v>0</v>
      </c>
      <c r="V228">
        <f t="shared" si="54"/>
        <v>0</v>
      </c>
      <c r="W228">
        <f t="shared" si="57"/>
        <v>0</v>
      </c>
      <c r="X228" t="s">
        <v>696</v>
      </c>
      <c r="Y228" t="s">
        <v>287</v>
      </c>
      <c r="Z228" s="3" t="s">
        <v>339</v>
      </c>
      <c r="AA228" t="s">
        <v>628</v>
      </c>
      <c r="AB228">
        <v>23</v>
      </c>
      <c r="AC228" s="8" t="s">
        <v>1071</v>
      </c>
      <c r="AD228" s="8"/>
      <c r="AE228" s="8">
        <v>175</v>
      </c>
      <c r="AF228" s="8"/>
      <c r="AG228" s="8" t="s">
        <v>1036</v>
      </c>
      <c r="AH228" s="8" t="s">
        <v>1032</v>
      </c>
      <c r="AI228" s="33">
        <v>0.47</v>
      </c>
    </row>
    <row r="229" spans="1:35" x14ac:dyDescent="0.25">
      <c r="C229" t="s">
        <v>449</v>
      </c>
      <c r="D229" t="s">
        <v>12</v>
      </c>
      <c r="E229" t="s">
        <v>14</v>
      </c>
      <c r="F229">
        <v>2</v>
      </c>
      <c r="G229">
        <v>338</v>
      </c>
      <c r="H229">
        <v>625.1</v>
      </c>
      <c r="I229">
        <v>54.1</v>
      </c>
      <c r="L229">
        <f t="shared" si="59"/>
        <v>0</v>
      </c>
      <c r="M229">
        <f t="shared" si="55"/>
        <v>0</v>
      </c>
      <c r="N229">
        <f t="shared" si="60"/>
        <v>0</v>
      </c>
      <c r="O229">
        <f t="shared" si="61"/>
        <v>0</v>
      </c>
      <c r="P229">
        <f t="shared" si="62"/>
        <v>0</v>
      </c>
      <c r="Q229">
        <f t="shared" si="63"/>
        <v>0</v>
      </c>
      <c r="R229">
        <f t="shared" si="58"/>
        <v>0</v>
      </c>
      <c r="S229">
        <f t="shared" si="51"/>
        <v>0</v>
      </c>
      <c r="T229">
        <f t="shared" si="64"/>
        <v>0</v>
      </c>
      <c r="U229">
        <f t="shared" si="56"/>
        <v>0</v>
      </c>
      <c r="V229">
        <f t="shared" si="54"/>
        <v>0</v>
      </c>
      <c r="W229">
        <f t="shared" si="57"/>
        <v>0</v>
      </c>
      <c r="X229" t="s">
        <v>697</v>
      </c>
      <c r="Y229" t="s">
        <v>287</v>
      </c>
      <c r="Z229" s="3" t="s">
        <v>137</v>
      </c>
      <c r="AA229" t="s">
        <v>602</v>
      </c>
      <c r="AB229">
        <v>23</v>
      </c>
      <c r="AC229" s="8" t="s">
        <v>1071</v>
      </c>
      <c r="AD229" s="8"/>
      <c r="AE229" s="8">
        <v>175</v>
      </c>
      <c r="AF229" s="8"/>
      <c r="AG229" s="8" t="s">
        <v>1036</v>
      </c>
      <c r="AH229" s="8" t="s">
        <v>1032</v>
      </c>
      <c r="AI229" s="33">
        <v>0.47</v>
      </c>
    </row>
    <row r="230" spans="1:35" x14ac:dyDescent="0.25">
      <c r="C230" t="s">
        <v>453</v>
      </c>
      <c r="D230" t="s">
        <v>12</v>
      </c>
      <c r="E230" t="s">
        <v>14</v>
      </c>
      <c r="F230">
        <v>2</v>
      </c>
      <c r="G230">
        <v>318.5</v>
      </c>
      <c r="H230">
        <v>590</v>
      </c>
      <c r="I230">
        <v>54</v>
      </c>
      <c r="L230">
        <f t="shared" si="59"/>
        <v>0</v>
      </c>
      <c r="M230">
        <f t="shared" si="55"/>
        <v>0</v>
      </c>
      <c r="N230">
        <f t="shared" si="60"/>
        <v>0</v>
      </c>
      <c r="O230">
        <f t="shared" si="61"/>
        <v>0</v>
      </c>
      <c r="P230">
        <f t="shared" si="62"/>
        <v>0</v>
      </c>
      <c r="Q230">
        <f t="shared" si="63"/>
        <v>0</v>
      </c>
      <c r="R230">
        <f t="shared" si="58"/>
        <v>0</v>
      </c>
      <c r="S230">
        <f t="shared" si="51"/>
        <v>0</v>
      </c>
      <c r="T230">
        <f t="shared" si="64"/>
        <v>0</v>
      </c>
      <c r="U230">
        <f t="shared" si="56"/>
        <v>0</v>
      </c>
      <c r="V230">
        <f t="shared" si="54"/>
        <v>0</v>
      </c>
      <c r="W230">
        <f t="shared" si="57"/>
        <v>0</v>
      </c>
      <c r="X230" t="s">
        <v>698</v>
      </c>
      <c r="Y230" t="s">
        <v>290</v>
      </c>
      <c r="Z230" s="3" t="s">
        <v>141</v>
      </c>
      <c r="AA230" t="s">
        <v>606</v>
      </c>
      <c r="AB230">
        <v>23</v>
      </c>
      <c r="AC230" s="8" t="s">
        <v>1071</v>
      </c>
      <c r="AD230" s="8"/>
      <c r="AE230" s="8">
        <v>175</v>
      </c>
      <c r="AF230" s="8"/>
      <c r="AG230" s="8" t="s">
        <v>1036</v>
      </c>
      <c r="AH230" s="8" t="s">
        <v>1032</v>
      </c>
      <c r="AI230" s="33">
        <v>0.47</v>
      </c>
    </row>
    <row r="231" spans="1:35" x14ac:dyDescent="0.25">
      <c r="C231" t="s">
        <v>456</v>
      </c>
      <c r="D231" t="s">
        <v>12</v>
      </c>
      <c r="E231" t="s">
        <v>14</v>
      </c>
      <c r="F231">
        <v>2</v>
      </c>
      <c r="G231">
        <v>332.5</v>
      </c>
      <c r="H231">
        <v>579.5</v>
      </c>
      <c r="I231">
        <v>57.4</v>
      </c>
      <c r="L231">
        <f t="shared" si="59"/>
        <v>0</v>
      </c>
      <c r="M231">
        <f t="shared" si="55"/>
        <v>0</v>
      </c>
      <c r="N231">
        <f t="shared" si="60"/>
        <v>0</v>
      </c>
      <c r="O231">
        <f t="shared" si="61"/>
        <v>0</v>
      </c>
      <c r="P231">
        <f t="shared" si="62"/>
        <v>0</v>
      </c>
      <c r="Q231">
        <f t="shared" si="63"/>
        <v>0</v>
      </c>
      <c r="R231">
        <f t="shared" si="58"/>
        <v>0</v>
      </c>
      <c r="S231">
        <f t="shared" si="51"/>
        <v>0</v>
      </c>
      <c r="T231">
        <f t="shared" si="64"/>
        <v>0</v>
      </c>
      <c r="U231">
        <f t="shared" si="56"/>
        <v>0</v>
      </c>
      <c r="V231">
        <f t="shared" si="54"/>
        <v>0</v>
      </c>
      <c r="W231">
        <f t="shared" si="57"/>
        <v>0</v>
      </c>
      <c r="X231" t="s">
        <v>699</v>
      </c>
      <c r="Y231" t="s">
        <v>292</v>
      </c>
      <c r="Z231" s="3" t="s">
        <v>144</v>
      </c>
      <c r="AA231" t="s">
        <v>628</v>
      </c>
      <c r="AB231">
        <v>23</v>
      </c>
      <c r="AC231" s="8" t="s">
        <v>1071</v>
      </c>
      <c r="AD231" s="8"/>
      <c r="AE231" s="8">
        <v>175</v>
      </c>
      <c r="AF231" s="8"/>
      <c r="AG231" s="8" t="s">
        <v>1036</v>
      </c>
      <c r="AH231" s="8" t="s">
        <v>1032</v>
      </c>
      <c r="AI231" s="33">
        <v>0.47</v>
      </c>
    </row>
    <row r="232" spans="1:35" x14ac:dyDescent="0.25">
      <c r="C232" t="s">
        <v>458</v>
      </c>
      <c r="D232" t="s">
        <v>12</v>
      </c>
      <c r="E232" t="s">
        <v>14</v>
      </c>
      <c r="F232">
        <v>2</v>
      </c>
      <c r="G232">
        <v>320.5</v>
      </c>
      <c r="H232">
        <v>579.5</v>
      </c>
      <c r="I232">
        <v>55.3</v>
      </c>
      <c r="L232">
        <f t="shared" si="59"/>
        <v>0</v>
      </c>
      <c r="M232">
        <f t="shared" si="55"/>
        <v>0</v>
      </c>
      <c r="N232">
        <f t="shared" si="60"/>
        <v>0</v>
      </c>
      <c r="O232">
        <f t="shared" si="61"/>
        <v>0</v>
      </c>
      <c r="P232">
        <f t="shared" si="62"/>
        <v>0</v>
      </c>
      <c r="Q232">
        <f t="shared" si="63"/>
        <v>0</v>
      </c>
      <c r="R232">
        <f t="shared" si="58"/>
        <v>0</v>
      </c>
      <c r="S232">
        <f t="shared" si="51"/>
        <v>0</v>
      </c>
      <c r="T232">
        <f t="shared" si="64"/>
        <v>0</v>
      </c>
      <c r="U232">
        <f t="shared" si="56"/>
        <v>0</v>
      </c>
      <c r="V232">
        <f t="shared" si="54"/>
        <v>0</v>
      </c>
      <c r="W232">
        <f t="shared" si="57"/>
        <v>0</v>
      </c>
      <c r="X232" t="s">
        <v>700</v>
      </c>
      <c r="Y232" t="s">
        <v>295</v>
      </c>
      <c r="Z232" s="3" t="s">
        <v>151</v>
      </c>
      <c r="AA232" t="s">
        <v>602</v>
      </c>
      <c r="AB232">
        <v>23</v>
      </c>
      <c r="AC232" s="8" t="s">
        <v>1071</v>
      </c>
      <c r="AD232" s="8"/>
      <c r="AE232" s="8">
        <v>175</v>
      </c>
      <c r="AF232" s="8"/>
      <c r="AG232" s="8" t="s">
        <v>1036</v>
      </c>
      <c r="AH232" s="8" t="s">
        <v>1032</v>
      </c>
      <c r="AI232" s="33">
        <v>0.47</v>
      </c>
    </row>
    <row r="233" spans="1:35" x14ac:dyDescent="0.25">
      <c r="A233" s="2"/>
      <c r="B233" s="2"/>
      <c r="C233" s="2" t="s">
        <v>461</v>
      </c>
      <c r="D233" s="2" t="s">
        <v>12</v>
      </c>
      <c r="E233" s="2" t="s">
        <v>14</v>
      </c>
      <c r="F233" s="2">
        <v>2</v>
      </c>
      <c r="G233" s="2">
        <v>270.5</v>
      </c>
      <c r="H233" s="2">
        <v>481.9</v>
      </c>
      <c r="I233" s="2">
        <v>56.1</v>
      </c>
      <c r="J233" s="2"/>
      <c r="K233" s="2"/>
      <c r="L233" s="2">
        <f t="shared" si="59"/>
        <v>0</v>
      </c>
      <c r="M233" s="2">
        <f t="shared" si="55"/>
        <v>0</v>
      </c>
      <c r="N233" s="2">
        <f t="shared" si="60"/>
        <v>0</v>
      </c>
      <c r="O233" s="2">
        <f t="shared" si="61"/>
        <v>0</v>
      </c>
      <c r="P233" s="2">
        <f t="shared" si="62"/>
        <v>0</v>
      </c>
      <c r="Q233" s="2">
        <f t="shared" si="63"/>
        <v>0</v>
      </c>
      <c r="R233" s="2">
        <f t="shared" si="58"/>
        <v>0</v>
      </c>
      <c r="S233" s="2">
        <f t="shared" si="51"/>
        <v>0</v>
      </c>
      <c r="T233" s="2">
        <f t="shared" si="64"/>
        <v>0</v>
      </c>
      <c r="U233" s="2">
        <f t="shared" si="56"/>
        <v>0</v>
      </c>
      <c r="V233" s="2">
        <f t="shared" si="54"/>
        <v>0</v>
      </c>
      <c r="W233" s="2">
        <f t="shared" si="57"/>
        <v>0</v>
      </c>
      <c r="X233" s="2" t="s">
        <v>701</v>
      </c>
      <c r="Y233" s="2" t="s">
        <v>298</v>
      </c>
      <c r="Z233" s="6" t="s">
        <v>155</v>
      </c>
      <c r="AA233" s="2" t="s">
        <v>628</v>
      </c>
      <c r="AB233" s="2">
        <v>23</v>
      </c>
      <c r="AC233" s="9" t="s">
        <v>1071</v>
      </c>
      <c r="AD233" s="9"/>
      <c r="AE233" s="9">
        <v>175</v>
      </c>
      <c r="AF233" s="9"/>
      <c r="AG233" s="9" t="s">
        <v>1036</v>
      </c>
      <c r="AH233" s="9" t="s">
        <v>1032</v>
      </c>
      <c r="AI233" s="34">
        <v>0.47</v>
      </c>
    </row>
    <row r="234" spans="1:35" ht="15.75" x14ac:dyDescent="0.25">
      <c r="A234" s="7">
        <v>44904</v>
      </c>
      <c r="B234" t="s">
        <v>702</v>
      </c>
      <c r="C234" t="s">
        <v>703</v>
      </c>
      <c r="D234" t="s">
        <v>12</v>
      </c>
      <c r="E234" t="s">
        <v>14</v>
      </c>
      <c r="F234">
        <v>2</v>
      </c>
      <c r="G234">
        <v>327</v>
      </c>
      <c r="H234">
        <v>595.4</v>
      </c>
      <c r="I234">
        <v>54.9</v>
      </c>
      <c r="L234">
        <f t="shared" si="59"/>
        <v>0</v>
      </c>
      <c r="M234">
        <f t="shared" si="55"/>
        <v>0</v>
      </c>
      <c r="N234">
        <f t="shared" si="60"/>
        <v>0</v>
      </c>
      <c r="O234">
        <f t="shared" si="61"/>
        <v>0</v>
      </c>
      <c r="P234">
        <f t="shared" si="62"/>
        <v>0</v>
      </c>
      <c r="Q234">
        <f t="shared" si="63"/>
        <v>0</v>
      </c>
      <c r="R234">
        <f t="shared" si="58"/>
        <v>0</v>
      </c>
      <c r="S234">
        <f t="shared" si="51"/>
        <v>0</v>
      </c>
      <c r="T234">
        <f t="shared" si="64"/>
        <v>0</v>
      </c>
      <c r="U234">
        <f t="shared" si="56"/>
        <v>0</v>
      </c>
      <c r="V234">
        <f t="shared" si="54"/>
        <v>0</v>
      </c>
      <c r="W234">
        <f t="shared" si="57"/>
        <v>0</v>
      </c>
      <c r="X234" t="s">
        <v>704</v>
      </c>
      <c r="Y234" t="s">
        <v>705</v>
      </c>
      <c r="Z234" s="3" t="s">
        <v>274</v>
      </c>
      <c r="AA234" t="s">
        <v>706</v>
      </c>
      <c r="AB234">
        <f>(24-16)+11</f>
        <v>19</v>
      </c>
      <c r="AC234" s="8" t="s">
        <v>1036</v>
      </c>
      <c r="AD234" s="26" t="s">
        <v>1053</v>
      </c>
      <c r="AE234" s="8">
        <v>172</v>
      </c>
      <c r="AF234" s="8"/>
      <c r="AG234" s="8" t="s">
        <v>1036</v>
      </c>
      <c r="AH234" s="8" t="s">
        <v>1032</v>
      </c>
      <c r="AI234">
        <v>0.28000000000000003</v>
      </c>
    </row>
    <row r="235" spans="1:35" x14ac:dyDescent="0.25">
      <c r="C235" t="s">
        <v>707</v>
      </c>
      <c r="D235" t="s">
        <v>12</v>
      </c>
      <c r="E235" t="s">
        <v>14</v>
      </c>
      <c r="F235">
        <v>2</v>
      </c>
      <c r="G235">
        <v>328.5</v>
      </c>
      <c r="H235">
        <v>600.4</v>
      </c>
      <c r="I235">
        <v>54.7</v>
      </c>
      <c r="L235">
        <f t="shared" si="59"/>
        <v>0</v>
      </c>
      <c r="M235">
        <f t="shared" si="55"/>
        <v>0</v>
      </c>
      <c r="N235">
        <f t="shared" si="60"/>
        <v>0</v>
      </c>
      <c r="O235">
        <f t="shared" si="61"/>
        <v>0</v>
      </c>
      <c r="P235">
        <f t="shared" si="62"/>
        <v>0</v>
      </c>
      <c r="Q235">
        <f t="shared" si="63"/>
        <v>0</v>
      </c>
      <c r="R235">
        <f t="shared" si="58"/>
        <v>0</v>
      </c>
      <c r="S235">
        <f t="shared" si="51"/>
        <v>0</v>
      </c>
      <c r="T235">
        <f t="shared" si="64"/>
        <v>0</v>
      </c>
      <c r="U235">
        <f t="shared" si="56"/>
        <v>0</v>
      </c>
      <c r="V235">
        <f t="shared" si="54"/>
        <v>0</v>
      </c>
      <c r="W235">
        <f t="shared" si="57"/>
        <v>0</v>
      </c>
      <c r="X235" t="s">
        <v>708</v>
      </c>
      <c r="Y235" t="s">
        <v>709</v>
      </c>
      <c r="Z235" s="3" t="s">
        <v>280</v>
      </c>
      <c r="AB235">
        <v>19</v>
      </c>
      <c r="AC235" s="8" t="s">
        <v>1036</v>
      </c>
      <c r="AD235" s="8"/>
      <c r="AE235" s="8">
        <v>172</v>
      </c>
      <c r="AF235" s="8"/>
      <c r="AG235" s="8" t="s">
        <v>1036</v>
      </c>
      <c r="AH235" s="8" t="s">
        <v>1032</v>
      </c>
      <c r="AI235">
        <v>0.28000000000000003</v>
      </c>
    </row>
    <row r="236" spans="1:35" x14ac:dyDescent="0.25">
      <c r="C236" t="s">
        <v>710</v>
      </c>
      <c r="D236" t="s">
        <v>12</v>
      </c>
      <c r="E236" t="s">
        <v>14</v>
      </c>
      <c r="F236">
        <v>2</v>
      </c>
      <c r="G236">
        <v>309.5</v>
      </c>
      <c r="H236">
        <v>555.20000000000005</v>
      </c>
      <c r="I236">
        <v>55.7</v>
      </c>
      <c r="L236">
        <f t="shared" si="59"/>
        <v>0</v>
      </c>
      <c r="M236">
        <f t="shared" si="55"/>
        <v>0</v>
      </c>
      <c r="N236">
        <f t="shared" si="60"/>
        <v>0</v>
      </c>
      <c r="O236">
        <f t="shared" si="61"/>
        <v>0</v>
      </c>
      <c r="P236">
        <f t="shared" si="62"/>
        <v>0</v>
      </c>
      <c r="Q236">
        <f t="shared" si="63"/>
        <v>0</v>
      </c>
      <c r="R236">
        <f t="shared" si="58"/>
        <v>0</v>
      </c>
      <c r="S236">
        <f t="shared" ref="S236:S299" si="65">IF(K236="Contaminated", 1, 0)</f>
        <v>0</v>
      </c>
      <c r="T236">
        <f t="shared" si="64"/>
        <v>0</v>
      </c>
      <c r="U236">
        <f t="shared" si="56"/>
        <v>0</v>
      </c>
      <c r="V236">
        <f t="shared" si="54"/>
        <v>0</v>
      </c>
      <c r="W236">
        <f t="shared" si="57"/>
        <v>0</v>
      </c>
      <c r="X236" t="s">
        <v>711</v>
      </c>
      <c r="Y236" t="s">
        <v>712</v>
      </c>
      <c r="Z236" s="3" t="s">
        <v>283</v>
      </c>
      <c r="AA236" t="s">
        <v>713</v>
      </c>
      <c r="AB236">
        <v>19</v>
      </c>
      <c r="AC236" s="8" t="s">
        <v>1036</v>
      </c>
      <c r="AD236" s="8"/>
      <c r="AE236" s="8">
        <v>172</v>
      </c>
      <c r="AF236" s="8"/>
      <c r="AG236" s="8" t="s">
        <v>1036</v>
      </c>
      <c r="AH236" s="8" t="s">
        <v>1032</v>
      </c>
      <c r="AI236">
        <v>0.28000000000000003</v>
      </c>
    </row>
    <row r="237" spans="1:35" x14ac:dyDescent="0.25">
      <c r="C237" t="s">
        <v>714</v>
      </c>
      <c r="D237" t="s">
        <v>12</v>
      </c>
      <c r="E237" t="s">
        <v>14</v>
      </c>
      <c r="F237">
        <v>2</v>
      </c>
      <c r="G237">
        <v>329.5</v>
      </c>
      <c r="H237">
        <v>603.20000000000005</v>
      </c>
      <c r="I237">
        <v>54.6</v>
      </c>
      <c r="K237" t="s">
        <v>715</v>
      </c>
      <c r="L237">
        <f t="shared" si="59"/>
        <v>1</v>
      </c>
      <c r="M237">
        <f t="shared" si="55"/>
        <v>0</v>
      </c>
      <c r="N237">
        <f t="shared" si="60"/>
        <v>0</v>
      </c>
      <c r="O237">
        <f t="shared" si="61"/>
        <v>0</v>
      </c>
      <c r="P237">
        <f t="shared" si="62"/>
        <v>0</v>
      </c>
      <c r="Q237">
        <f t="shared" si="63"/>
        <v>0</v>
      </c>
      <c r="R237">
        <f t="shared" si="58"/>
        <v>1</v>
      </c>
      <c r="S237">
        <f t="shared" si="65"/>
        <v>0</v>
      </c>
      <c r="T237">
        <f t="shared" si="64"/>
        <v>0</v>
      </c>
      <c r="U237">
        <f t="shared" si="56"/>
        <v>0</v>
      </c>
      <c r="V237">
        <f t="shared" si="54"/>
        <v>0</v>
      </c>
      <c r="W237">
        <f t="shared" si="57"/>
        <v>0</v>
      </c>
      <c r="X237" t="s">
        <v>716</v>
      </c>
      <c r="Y237" t="s">
        <v>717</v>
      </c>
      <c r="Z237" s="3" t="s">
        <v>718</v>
      </c>
      <c r="AA237" t="s">
        <v>719</v>
      </c>
      <c r="AB237">
        <v>19</v>
      </c>
      <c r="AC237" s="8" t="s">
        <v>1036</v>
      </c>
      <c r="AD237" s="8"/>
      <c r="AE237" s="8">
        <v>172</v>
      </c>
      <c r="AF237" s="8"/>
      <c r="AG237" s="8" t="s">
        <v>1036</v>
      </c>
      <c r="AH237" s="8" t="s">
        <v>1032</v>
      </c>
      <c r="AI237">
        <v>0.28000000000000003</v>
      </c>
    </row>
    <row r="238" spans="1:35" x14ac:dyDescent="0.25">
      <c r="C238" t="s">
        <v>720</v>
      </c>
      <c r="D238" t="s">
        <v>12</v>
      </c>
      <c r="E238" t="s">
        <v>14</v>
      </c>
      <c r="F238">
        <v>2</v>
      </c>
      <c r="G238">
        <v>299</v>
      </c>
      <c r="H238">
        <v>584.79999999999995</v>
      </c>
      <c r="I238">
        <v>51.1</v>
      </c>
      <c r="K238" t="s">
        <v>715</v>
      </c>
      <c r="L238">
        <f t="shared" si="59"/>
        <v>1</v>
      </c>
      <c r="M238">
        <f t="shared" si="55"/>
        <v>0</v>
      </c>
      <c r="N238">
        <f t="shared" si="60"/>
        <v>0</v>
      </c>
      <c r="O238">
        <f t="shared" si="61"/>
        <v>0</v>
      </c>
      <c r="P238">
        <f t="shared" si="62"/>
        <v>0</v>
      </c>
      <c r="Q238">
        <f t="shared" si="63"/>
        <v>0</v>
      </c>
      <c r="R238">
        <f t="shared" si="58"/>
        <v>1</v>
      </c>
      <c r="S238">
        <f t="shared" si="65"/>
        <v>0</v>
      </c>
      <c r="T238">
        <f t="shared" si="64"/>
        <v>0</v>
      </c>
      <c r="U238">
        <f t="shared" si="56"/>
        <v>0</v>
      </c>
      <c r="V238">
        <f t="shared" si="54"/>
        <v>0</v>
      </c>
      <c r="W238">
        <f t="shared" si="57"/>
        <v>0</v>
      </c>
      <c r="X238" t="s">
        <v>721</v>
      </c>
      <c r="Y238" t="s">
        <v>722</v>
      </c>
      <c r="Z238" s="3" t="s">
        <v>723</v>
      </c>
      <c r="AB238">
        <v>19</v>
      </c>
      <c r="AC238" s="8" t="s">
        <v>1036</v>
      </c>
      <c r="AD238" s="8"/>
      <c r="AE238" s="8">
        <v>172</v>
      </c>
      <c r="AF238" s="8"/>
      <c r="AG238" s="8" t="s">
        <v>1036</v>
      </c>
      <c r="AH238" s="8" t="s">
        <v>1032</v>
      </c>
      <c r="AI238">
        <v>0.28000000000000003</v>
      </c>
    </row>
    <row r="239" spans="1:35" x14ac:dyDescent="0.25">
      <c r="C239" t="s">
        <v>724</v>
      </c>
      <c r="D239" t="s">
        <v>12</v>
      </c>
      <c r="E239" t="s">
        <v>14</v>
      </c>
      <c r="F239">
        <v>2</v>
      </c>
      <c r="G239">
        <v>342.5</v>
      </c>
      <c r="H239">
        <v>656.2</v>
      </c>
      <c r="I239">
        <v>52.2</v>
      </c>
      <c r="L239">
        <f t="shared" si="59"/>
        <v>0</v>
      </c>
      <c r="M239">
        <f t="shared" si="55"/>
        <v>0</v>
      </c>
      <c r="N239">
        <f t="shared" si="60"/>
        <v>0</v>
      </c>
      <c r="O239">
        <f t="shared" si="61"/>
        <v>0</v>
      </c>
      <c r="P239">
        <f t="shared" si="62"/>
        <v>0</v>
      </c>
      <c r="Q239">
        <f t="shared" si="63"/>
        <v>0</v>
      </c>
      <c r="R239">
        <f t="shared" si="58"/>
        <v>0</v>
      </c>
      <c r="S239">
        <f t="shared" si="65"/>
        <v>0</v>
      </c>
      <c r="T239">
        <f t="shared" si="64"/>
        <v>0</v>
      </c>
      <c r="U239">
        <f t="shared" si="56"/>
        <v>0</v>
      </c>
      <c r="V239">
        <f t="shared" si="54"/>
        <v>0</v>
      </c>
      <c r="W239">
        <f t="shared" si="57"/>
        <v>0</v>
      </c>
      <c r="X239" t="s">
        <v>725</v>
      </c>
      <c r="Y239" t="s">
        <v>726</v>
      </c>
      <c r="Z239" s="3" t="s">
        <v>290</v>
      </c>
      <c r="AA239" t="s">
        <v>727</v>
      </c>
      <c r="AB239">
        <v>19</v>
      </c>
      <c r="AC239" s="8" t="s">
        <v>1036</v>
      </c>
      <c r="AD239" s="8"/>
      <c r="AE239" s="8">
        <v>172</v>
      </c>
      <c r="AF239" s="8"/>
      <c r="AG239" s="8" t="s">
        <v>1036</v>
      </c>
      <c r="AH239" s="8" t="s">
        <v>1032</v>
      </c>
      <c r="AI239">
        <v>0.28000000000000003</v>
      </c>
    </row>
    <row r="240" spans="1:35" x14ac:dyDescent="0.25">
      <c r="C240" t="s">
        <v>598</v>
      </c>
      <c r="D240" t="s">
        <v>12</v>
      </c>
      <c r="E240" t="s">
        <v>14</v>
      </c>
      <c r="F240">
        <v>2</v>
      </c>
      <c r="G240">
        <v>321.5</v>
      </c>
      <c r="H240">
        <v>600.6</v>
      </c>
      <c r="I240">
        <v>53.5</v>
      </c>
      <c r="L240">
        <f t="shared" si="59"/>
        <v>0</v>
      </c>
      <c r="M240">
        <f t="shared" si="55"/>
        <v>0</v>
      </c>
      <c r="N240">
        <f t="shared" si="60"/>
        <v>0</v>
      </c>
      <c r="O240">
        <f t="shared" si="61"/>
        <v>0</v>
      </c>
      <c r="P240">
        <f t="shared" si="62"/>
        <v>0</v>
      </c>
      <c r="Q240">
        <f t="shared" si="63"/>
        <v>0</v>
      </c>
      <c r="R240">
        <f t="shared" si="58"/>
        <v>0</v>
      </c>
      <c r="S240">
        <f t="shared" si="65"/>
        <v>0</v>
      </c>
      <c r="T240">
        <f t="shared" si="64"/>
        <v>0</v>
      </c>
      <c r="U240">
        <f t="shared" si="56"/>
        <v>0</v>
      </c>
      <c r="V240">
        <f t="shared" si="54"/>
        <v>0</v>
      </c>
      <c r="W240">
        <f t="shared" si="57"/>
        <v>0</v>
      </c>
      <c r="X240" t="s">
        <v>728</v>
      </c>
      <c r="Y240" t="s">
        <v>729</v>
      </c>
      <c r="Z240" s="3" t="s">
        <v>292</v>
      </c>
      <c r="AA240" t="s">
        <v>706</v>
      </c>
      <c r="AB240">
        <v>19</v>
      </c>
      <c r="AC240" s="8" t="s">
        <v>1036</v>
      </c>
      <c r="AD240" s="8"/>
      <c r="AE240" s="8">
        <v>172</v>
      </c>
      <c r="AF240" s="8"/>
      <c r="AG240" s="8" t="s">
        <v>1036</v>
      </c>
      <c r="AH240" s="8" t="s">
        <v>1032</v>
      </c>
      <c r="AI240">
        <v>0.28000000000000003</v>
      </c>
    </row>
    <row r="241" spans="3:35" x14ac:dyDescent="0.25">
      <c r="C241" t="s">
        <v>603</v>
      </c>
      <c r="D241" t="s">
        <v>12</v>
      </c>
      <c r="E241" t="s">
        <v>14</v>
      </c>
      <c r="F241">
        <v>2</v>
      </c>
      <c r="G241">
        <v>358</v>
      </c>
      <c r="H241">
        <v>683.4</v>
      </c>
      <c r="I241">
        <v>52.4</v>
      </c>
      <c r="L241">
        <f t="shared" si="59"/>
        <v>0</v>
      </c>
      <c r="M241">
        <f t="shared" si="55"/>
        <v>0</v>
      </c>
      <c r="N241">
        <f t="shared" si="60"/>
        <v>0</v>
      </c>
      <c r="O241">
        <f t="shared" si="61"/>
        <v>0</v>
      </c>
      <c r="P241">
        <f t="shared" si="62"/>
        <v>0</v>
      </c>
      <c r="Q241">
        <f t="shared" si="63"/>
        <v>0</v>
      </c>
      <c r="R241">
        <f t="shared" si="58"/>
        <v>0</v>
      </c>
      <c r="S241">
        <f t="shared" si="65"/>
        <v>0</v>
      </c>
      <c r="T241">
        <f t="shared" si="64"/>
        <v>0</v>
      </c>
      <c r="U241">
        <f t="shared" si="56"/>
        <v>0</v>
      </c>
      <c r="V241">
        <f t="shared" si="54"/>
        <v>0</v>
      </c>
      <c r="W241">
        <f t="shared" si="57"/>
        <v>0</v>
      </c>
      <c r="X241" t="s">
        <v>730</v>
      </c>
      <c r="Y241" t="s">
        <v>731</v>
      </c>
      <c r="Z241" s="3" t="s">
        <v>295</v>
      </c>
      <c r="AA241" t="s">
        <v>713</v>
      </c>
      <c r="AB241">
        <v>19</v>
      </c>
      <c r="AC241" s="8" t="s">
        <v>1036</v>
      </c>
      <c r="AD241" s="8"/>
      <c r="AE241" s="8">
        <v>172</v>
      </c>
      <c r="AF241" s="8"/>
      <c r="AG241" s="8" t="s">
        <v>1036</v>
      </c>
      <c r="AH241" s="8" t="s">
        <v>1032</v>
      </c>
      <c r="AI241">
        <v>0.28000000000000003</v>
      </c>
    </row>
    <row r="242" spans="3:35" x14ac:dyDescent="0.25">
      <c r="C242" t="s">
        <v>607</v>
      </c>
      <c r="D242" t="s">
        <v>12</v>
      </c>
      <c r="E242" t="s">
        <v>14</v>
      </c>
      <c r="F242">
        <v>2</v>
      </c>
      <c r="G242">
        <v>322.5</v>
      </c>
      <c r="H242">
        <v>601.20000000000005</v>
      </c>
      <c r="I242">
        <v>53.6</v>
      </c>
      <c r="L242">
        <f t="shared" si="59"/>
        <v>0</v>
      </c>
      <c r="M242">
        <f t="shared" si="55"/>
        <v>0</v>
      </c>
      <c r="N242">
        <f t="shared" si="60"/>
        <v>0</v>
      </c>
      <c r="O242">
        <f t="shared" si="61"/>
        <v>0</v>
      </c>
      <c r="P242">
        <f t="shared" si="62"/>
        <v>0</v>
      </c>
      <c r="Q242">
        <f t="shared" si="63"/>
        <v>0</v>
      </c>
      <c r="R242">
        <f t="shared" si="58"/>
        <v>0</v>
      </c>
      <c r="S242">
        <f t="shared" si="65"/>
        <v>0</v>
      </c>
      <c r="T242">
        <f t="shared" si="64"/>
        <v>0</v>
      </c>
      <c r="U242">
        <f t="shared" si="56"/>
        <v>0</v>
      </c>
      <c r="V242">
        <f t="shared" si="54"/>
        <v>0</v>
      </c>
      <c r="W242">
        <f t="shared" si="57"/>
        <v>0</v>
      </c>
      <c r="X242" t="s">
        <v>732</v>
      </c>
      <c r="Y242" t="s">
        <v>731</v>
      </c>
      <c r="Z242" s="3" t="s">
        <v>298</v>
      </c>
      <c r="AA242" t="s">
        <v>719</v>
      </c>
      <c r="AB242">
        <v>19</v>
      </c>
      <c r="AC242" s="8" t="s">
        <v>1036</v>
      </c>
      <c r="AD242" s="8"/>
      <c r="AE242" s="8">
        <v>172</v>
      </c>
      <c r="AF242" s="8"/>
      <c r="AG242" s="8" t="s">
        <v>1036</v>
      </c>
      <c r="AH242" s="8" t="s">
        <v>1032</v>
      </c>
      <c r="AI242">
        <v>0.28000000000000003</v>
      </c>
    </row>
    <row r="243" spans="3:35" x14ac:dyDescent="0.25">
      <c r="C243" t="s">
        <v>612</v>
      </c>
      <c r="D243" t="s">
        <v>12</v>
      </c>
      <c r="E243" t="s">
        <v>14</v>
      </c>
      <c r="F243">
        <v>2</v>
      </c>
      <c r="G243">
        <v>334.5</v>
      </c>
      <c r="H243">
        <v>641.4</v>
      </c>
      <c r="I243">
        <v>52.2</v>
      </c>
      <c r="L243">
        <f t="shared" si="59"/>
        <v>0</v>
      </c>
      <c r="M243">
        <f t="shared" si="55"/>
        <v>0</v>
      </c>
      <c r="N243">
        <f t="shared" si="60"/>
        <v>0</v>
      </c>
      <c r="O243">
        <f t="shared" si="61"/>
        <v>0</v>
      </c>
      <c r="P243">
        <f t="shared" si="62"/>
        <v>0</v>
      </c>
      <c r="Q243">
        <f t="shared" si="63"/>
        <v>0</v>
      </c>
      <c r="R243">
        <f t="shared" si="58"/>
        <v>0</v>
      </c>
      <c r="S243">
        <f t="shared" si="65"/>
        <v>0</v>
      </c>
      <c r="T243">
        <f t="shared" si="64"/>
        <v>0</v>
      </c>
      <c r="U243">
        <f t="shared" si="56"/>
        <v>0</v>
      </c>
      <c r="V243">
        <f t="shared" si="54"/>
        <v>0</v>
      </c>
      <c r="W243">
        <f t="shared" si="57"/>
        <v>0</v>
      </c>
      <c r="X243" t="s">
        <v>733</v>
      </c>
      <c r="Y243" t="s">
        <v>201</v>
      </c>
      <c r="Z243" s="3" t="s">
        <v>301</v>
      </c>
      <c r="AA243" t="s">
        <v>719</v>
      </c>
      <c r="AB243">
        <v>19</v>
      </c>
      <c r="AC243" s="8" t="s">
        <v>1036</v>
      </c>
      <c r="AD243" s="8"/>
      <c r="AE243" s="8">
        <v>172</v>
      </c>
      <c r="AF243" s="8"/>
      <c r="AG243" s="8" t="s">
        <v>1036</v>
      </c>
      <c r="AH243" s="8" t="s">
        <v>1032</v>
      </c>
      <c r="AI243">
        <v>0.28000000000000003</v>
      </c>
    </row>
    <row r="244" spans="3:35" x14ac:dyDescent="0.25">
      <c r="C244" t="s">
        <v>615</v>
      </c>
      <c r="D244" t="s">
        <v>12</v>
      </c>
      <c r="E244" t="s">
        <v>14</v>
      </c>
      <c r="F244">
        <v>2</v>
      </c>
      <c r="G244">
        <v>335.5</v>
      </c>
      <c r="H244">
        <v>628.1</v>
      </c>
      <c r="I244">
        <v>53.4</v>
      </c>
      <c r="L244">
        <f t="shared" si="59"/>
        <v>0</v>
      </c>
      <c r="M244">
        <f t="shared" si="55"/>
        <v>0</v>
      </c>
      <c r="N244">
        <f t="shared" si="60"/>
        <v>0</v>
      </c>
      <c r="O244">
        <f t="shared" si="61"/>
        <v>0</v>
      </c>
      <c r="P244">
        <f t="shared" si="62"/>
        <v>0</v>
      </c>
      <c r="Q244">
        <f t="shared" si="63"/>
        <v>0</v>
      </c>
      <c r="R244">
        <f t="shared" si="58"/>
        <v>0</v>
      </c>
      <c r="S244">
        <f t="shared" si="65"/>
        <v>0</v>
      </c>
      <c r="T244">
        <f t="shared" si="64"/>
        <v>0</v>
      </c>
      <c r="U244">
        <f t="shared" si="56"/>
        <v>0</v>
      </c>
      <c r="V244">
        <f t="shared" si="54"/>
        <v>0</v>
      </c>
      <c r="W244">
        <f t="shared" si="57"/>
        <v>0</v>
      </c>
      <c r="X244" t="s">
        <v>734</v>
      </c>
      <c r="Y244" t="s">
        <v>735</v>
      </c>
      <c r="Z244" s="3" t="s">
        <v>303</v>
      </c>
      <c r="AA244" t="s">
        <v>727</v>
      </c>
      <c r="AB244">
        <v>19</v>
      </c>
      <c r="AC244" s="8" t="s">
        <v>1036</v>
      </c>
      <c r="AD244" s="8"/>
      <c r="AE244" s="8">
        <v>172</v>
      </c>
      <c r="AF244" s="8"/>
      <c r="AG244" s="8" t="s">
        <v>1036</v>
      </c>
      <c r="AH244" s="8" t="s">
        <v>1032</v>
      </c>
      <c r="AI244">
        <v>0.28000000000000003</v>
      </c>
    </row>
    <row r="245" spans="3:35" x14ac:dyDescent="0.25">
      <c r="C245" t="s">
        <v>617</v>
      </c>
      <c r="D245" t="s">
        <v>12</v>
      </c>
      <c r="E245" t="s">
        <v>14</v>
      </c>
      <c r="F245">
        <v>2</v>
      </c>
      <c r="G245">
        <v>301.5</v>
      </c>
      <c r="H245">
        <v>563.9</v>
      </c>
      <c r="I245">
        <v>53.5</v>
      </c>
      <c r="L245">
        <f t="shared" si="59"/>
        <v>0</v>
      </c>
      <c r="M245">
        <f t="shared" si="55"/>
        <v>0</v>
      </c>
      <c r="N245">
        <f t="shared" si="60"/>
        <v>0</v>
      </c>
      <c r="O245">
        <f t="shared" si="61"/>
        <v>0</v>
      </c>
      <c r="P245">
        <f t="shared" si="62"/>
        <v>0</v>
      </c>
      <c r="Q245">
        <f t="shared" si="63"/>
        <v>0</v>
      </c>
      <c r="R245">
        <f t="shared" si="58"/>
        <v>0</v>
      </c>
      <c r="S245">
        <f t="shared" si="65"/>
        <v>0</v>
      </c>
      <c r="T245">
        <f t="shared" si="64"/>
        <v>0</v>
      </c>
      <c r="U245">
        <f t="shared" si="56"/>
        <v>0</v>
      </c>
      <c r="V245">
        <f t="shared" si="54"/>
        <v>0</v>
      </c>
      <c r="W245">
        <f t="shared" si="57"/>
        <v>0</v>
      </c>
      <c r="X245" t="s">
        <v>736</v>
      </c>
      <c r="Y245" t="s">
        <v>205</v>
      </c>
      <c r="Z245" s="3" t="s">
        <v>737</v>
      </c>
      <c r="AA245" t="s">
        <v>713</v>
      </c>
      <c r="AB245">
        <v>19</v>
      </c>
      <c r="AC245" s="8" t="s">
        <v>1036</v>
      </c>
      <c r="AD245" s="8"/>
      <c r="AE245" s="8">
        <v>172</v>
      </c>
      <c r="AF245" s="8"/>
      <c r="AG245" s="8" t="s">
        <v>1036</v>
      </c>
      <c r="AH245" s="8" t="s">
        <v>1032</v>
      </c>
      <c r="AI245">
        <v>0.28000000000000003</v>
      </c>
    </row>
    <row r="246" spans="3:35" x14ac:dyDescent="0.25">
      <c r="C246" t="s">
        <v>620</v>
      </c>
      <c r="D246" t="s">
        <v>12</v>
      </c>
      <c r="E246" t="s">
        <v>14</v>
      </c>
      <c r="F246">
        <v>2</v>
      </c>
      <c r="G246">
        <v>329.5</v>
      </c>
      <c r="H246">
        <v>602</v>
      </c>
      <c r="I246">
        <v>54.7</v>
      </c>
      <c r="L246">
        <f t="shared" si="59"/>
        <v>0</v>
      </c>
      <c r="M246">
        <f t="shared" si="55"/>
        <v>0</v>
      </c>
      <c r="N246">
        <f t="shared" si="60"/>
        <v>0</v>
      </c>
      <c r="O246">
        <f t="shared" si="61"/>
        <v>0</v>
      </c>
      <c r="P246">
        <f t="shared" si="62"/>
        <v>0</v>
      </c>
      <c r="Q246">
        <f t="shared" si="63"/>
        <v>0</v>
      </c>
      <c r="R246">
        <f t="shared" si="58"/>
        <v>0</v>
      </c>
      <c r="S246">
        <f t="shared" si="65"/>
        <v>0</v>
      </c>
      <c r="T246">
        <f t="shared" si="64"/>
        <v>0</v>
      </c>
      <c r="U246">
        <f t="shared" si="56"/>
        <v>0</v>
      </c>
      <c r="V246">
        <f t="shared" ref="V246:V309" si="66">IF(K246="Peritonitis", 1, 0)</f>
        <v>0</v>
      </c>
      <c r="W246">
        <f t="shared" si="57"/>
        <v>0</v>
      </c>
      <c r="X246" t="s">
        <v>738</v>
      </c>
      <c r="Y246" t="s">
        <v>205</v>
      </c>
      <c r="Z246" s="3" t="s">
        <v>739</v>
      </c>
      <c r="AA246" t="s">
        <v>719</v>
      </c>
      <c r="AB246">
        <v>19</v>
      </c>
      <c r="AC246" s="8" t="s">
        <v>1036</v>
      </c>
      <c r="AD246" s="8"/>
      <c r="AE246" s="8">
        <v>172</v>
      </c>
      <c r="AF246" s="8"/>
      <c r="AG246" s="8" t="s">
        <v>1036</v>
      </c>
      <c r="AH246" s="8" t="s">
        <v>1032</v>
      </c>
      <c r="AI246">
        <v>0.28000000000000003</v>
      </c>
    </row>
    <row r="247" spans="3:35" x14ac:dyDescent="0.25">
      <c r="C247" t="s">
        <v>624</v>
      </c>
      <c r="D247" t="s">
        <v>12</v>
      </c>
      <c r="E247" t="s">
        <v>14</v>
      </c>
      <c r="F247">
        <v>2</v>
      </c>
      <c r="G247">
        <v>350.5</v>
      </c>
      <c r="H247">
        <v>648.70000000000005</v>
      </c>
      <c r="I247">
        <v>54</v>
      </c>
      <c r="L247">
        <f t="shared" si="59"/>
        <v>0</v>
      </c>
      <c r="M247">
        <f t="shared" si="55"/>
        <v>0</v>
      </c>
      <c r="N247">
        <f t="shared" si="60"/>
        <v>0</v>
      </c>
      <c r="O247">
        <f t="shared" si="61"/>
        <v>0</v>
      </c>
      <c r="P247">
        <f t="shared" si="62"/>
        <v>0</v>
      </c>
      <c r="Q247">
        <f t="shared" si="63"/>
        <v>0</v>
      </c>
      <c r="R247">
        <f t="shared" si="58"/>
        <v>0</v>
      </c>
      <c r="S247">
        <f t="shared" si="65"/>
        <v>0</v>
      </c>
      <c r="T247">
        <f t="shared" si="64"/>
        <v>0</v>
      </c>
      <c r="U247">
        <f t="shared" si="56"/>
        <v>0</v>
      </c>
      <c r="V247">
        <f t="shared" si="66"/>
        <v>0</v>
      </c>
      <c r="W247">
        <f t="shared" si="57"/>
        <v>0</v>
      </c>
      <c r="X247" t="s">
        <v>740</v>
      </c>
      <c r="Y247" t="s">
        <v>741</v>
      </c>
      <c r="Z247" s="3" t="s">
        <v>739</v>
      </c>
      <c r="AA247" t="s">
        <v>727</v>
      </c>
      <c r="AB247">
        <v>19</v>
      </c>
      <c r="AC247" s="8" t="s">
        <v>1036</v>
      </c>
      <c r="AD247" s="8"/>
      <c r="AE247" s="8">
        <v>172</v>
      </c>
      <c r="AF247" s="8"/>
      <c r="AG247" s="8" t="s">
        <v>1036</v>
      </c>
      <c r="AH247" s="8" t="s">
        <v>1032</v>
      </c>
      <c r="AI247">
        <v>0.28000000000000003</v>
      </c>
    </row>
    <row r="248" spans="3:35" x14ac:dyDescent="0.25">
      <c r="C248" t="s">
        <v>629</v>
      </c>
      <c r="D248" t="s">
        <v>12</v>
      </c>
      <c r="E248" t="s">
        <v>14</v>
      </c>
      <c r="F248">
        <v>2</v>
      </c>
      <c r="G248">
        <v>319.5</v>
      </c>
      <c r="H248">
        <v>576.9</v>
      </c>
      <c r="I248">
        <v>55.4</v>
      </c>
      <c r="L248">
        <f t="shared" si="59"/>
        <v>0</v>
      </c>
      <c r="M248">
        <f t="shared" si="55"/>
        <v>0</v>
      </c>
      <c r="N248">
        <f t="shared" si="60"/>
        <v>0</v>
      </c>
      <c r="O248">
        <f t="shared" si="61"/>
        <v>0</v>
      </c>
      <c r="P248">
        <f t="shared" si="62"/>
        <v>0</v>
      </c>
      <c r="Q248">
        <f t="shared" si="63"/>
        <v>0</v>
      </c>
      <c r="R248">
        <f t="shared" si="58"/>
        <v>0</v>
      </c>
      <c r="S248">
        <f t="shared" si="65"/>
        <v>0</v>
      </c>
      <c r="T248">
        <f t="shared" si="64"/>
        <v>0</v>
      </c>
      <c r="U248">
        <f t="shared" si="56"/>
        <v>0</v>
      </c>
      <c r="V248">
        <f t="shared" si="66"/>
        <v>0</v>
      </c>
      <c r="W248">
        <f t="shared" si="57"/>
        <v>0</v>
      </c>
      <c r="X248" t="s">
        <v>742</v>
      </c>
      <c r="Y248" t="s">
        <v>743</v>
      </c>
      <c r="Z248" s="3" t="s">
        <v>744</v>
      </c>
      <c r="AA248" t="s">
        <v>727</v>
      </c>
      <c r="AB248">
        <v>19</v>
      </c>
      <c r="AC248" s="8" t="s">
        <v>1036</v>
      </c>
      <c r="AD248" s="8"/>
      <c r="AE248" s="8">
        <v>172</v>
      </c>
      <c r="AF248" s="8"/>
      <c r="AG248" s="8" t="s">
        <v>1036</v>
      </c>
      <c r="AH248" s="8" t="s">
        <v>1032</v>
      </c>
      <c r="AI248">
        <v>0.28000000000000003</v>
      </c>
    </row>
    <row r="249" spans="3:35" x14ac:dyDescent="0.25">
      <c r="C249" t="s">
        <v>634</v>
      </c>
      <c r="D249" t="s">
        <v>12</v>
      </c>
      <c r="E249" t="s">
        <v>14</v>
      </c>
      <c r="F249">
        <v>2</v>
      </c>
      <c r="G249">
        <v>318</v>
      </c>
      <c r="H249">
        <v>584.70000000000005</v>
      </c>
      <c r="I249">
        <v>54.4</v>
      </c>
      <c r="L249">
        <f t="shared" si="59"/>
        <v>0</v>
      </c>
      <c r="M249">
        <f t="shared" si="55"/>
        <v>0</v>
      </c>
      <c r="N249">
        <f t="shared" si="60"/>
        <v>0</v>
      </c>
      <c r="O249">
        <f t="shared" si="61"/>
        <v>0</v>
      </c>
      <c r="P249">
        <f t="shared" si="62"/>
        <v>0</v>
      </c>
      <c r="Q249">
        <f t="shared" si="63"/>
        <v>0</v>
      </c>
      <c r="R249">
        <f t="shared" si="58"/>
        <v>0</v>
      </c>
      <c r="S249">
        <f t="shared" si="65"/>
        <v>0</v>
      </c>
      <c r="T249">
        <f t="shared" si="64"/>
        <v>0</v>
      </c>
      <c r="U249">
        <f t="shared" si="56"/>
        <v>0</v>
      </c>
      <c r="V249">
        <f t="shared" si="66"/>
        <v>0</v>
      </c>
      <c r="W249">
        <f t="shared" si="57"/>
        <v>0</v>
      </c>
      <c r="X249" t="s">
        <v>745</v>
      </c>
      <c r="Y249" t="s">
        <v>743</v>
      </c>
      <c r="Z249" s="3" t="s">
        <v>746</v>
      </c>
      <c r="AA249" t="s">
        <v>747</v>
      </c>
      <c r="AB249">
        <v>19</v>
      </c>
      <c r="AC249" s="8" t="s">
        <v>1036</v>
      </c>
      <c r="AD249" s="8"/>
      <c r="AE249" s="8">
        <v>172</v>
      </c>
      <c r="AF249" s="8"/>
      <c r="AG249" s="8" t="s">
        <v>1036</v>
      </c>
      <c r="AH249" s="8" t="s">
        <v>1032</v>
      </c>
      <c r="AI249">
        <v>0.28000000000000003</v>
      </c>
    </row>
    <row r="250" spans="3:35" x14ac:dyDescent="0.25">
      <c r="C250" t="s">
        <v>638</v>
      </c>
      <c r="D250" t="s">
        <v>12</v>
      </c>
      <c r="E250" t="s">
        <v>14</v>
      </c>
      <c r="F250">
        <v>2</v>
      </c>
      <c r="G250">
        <v>321</v>
      </c>
      <c r="H250">
        <v>583.5</v>
      </c>
      <c r="I250">
        <v>55</v>
      </c>
      <c r="L250">
        <f t="shared" si="59"/>
        <v>0</v>
      </c>
      <c r="M250">
        <f t="shared" si="55"/>
        <v>0</v>
      </c>
      <c r="N250">
        <f t="shared" si="60"/>
        <v>0</v>
      </c>
      <c r="O250">
        <f t="shared" si="61"/>
        <v>0</v>
      </c>
      <c r="P250">
        <f t="shared" si="62"/>
        <v>0</v>
      </c>
      <c r="Q250">
        <f t="shared" si="63"/>
        <v>0</v>
      </c>
      <c r="R250">
        <f t="shared" si="58"/>
        <v>0</v>
      </c>
      <c r="S250">
        <f t="shared" si="65"/>
        <v>0</v>
      </c>
      <c r="T250">
        <f t="shared" si="64"/>
        <v>0</v>
      </c>
      <c r="U250">
        <f t="shared" si="56"/>
        <v>0</v>
      </c>
      <c r="V250">
        <f t="shared" si="66"/>
        <v>0</v>
      </c>
      <c r="W250">
        <f t="shared" si="57"/>
        <v>0</v>
      </c>
      <c r="X250" t="s">
        <v>748</v>
      </c>
      <c r="Y250" t="s">
        <v>600</v>
      </c>
      <c r="Z250" s="3" t="s">
        <v>601</v>
      </c>
      <c r="AA250" t="s">
        <v>719</v>
      </c>
      <c r="AB250">
        <v>19</v>
      </c>
      <c r="AC250" s="8" t="s">
        <v>1036</v>
      </c>
      <c r="AD250" s="8"/>
      <c r="AE250" s="8">
        <v>172</v>
      </c>
      <c r="AF250" s="8"/>
      <c r="AG250" s="8" t="s">
        <v>1036</v>
      </c>
      <c r="AH250" s="8" t="s">
        <v>1032</v>
      </c>
      <c r="AI250">
        <v>0.28000000000000003</v>
      </c>
    </row>
    <row r="251" spans="3:35" x14ac:dyDescent="0.25">
      <c r="C251" t="s">
        <v>642</v>
      </c>
      <c r="D251" t="s">
        <v>12</v>
      </c>
      <c r="E251" t="s">
        <v>14</v>
      </c>
      <c r="F251">
        <v>2</v>
      </c>
      <c r="G251">
        <v>300.5</v>
      </c>
      <c r="H251">
        <v>545.4</v>
      </c>
      <c r="I251">
        <v>55.1</v>
      </c>
      <c r="L251">
        <f t="shared" si="59"/>
        <v>0</v>
      </c>
      <c r="M251">
        <f t="shared" si="55"/>
        <v>0</v>
      </c>
      <c r="N251">
        <f t="shared" si="60"/>
        <v>0</v>
      </c>
      <c r="O251">
        <f t="shared" si="61"/>
        <v>0</v>
      </c>
      <c r="P251">
        <f t="shared" si="62"/>
        <v>0</v>
      </c>
      <c r="Q251">
        <f t="shared" si="63"/>
        <v>0</v>
      </c>
      <c r="R251">
        <f t="shared" si="58"/>
        <v>0</v>
      </c>
      <c r="S251">
        <f t="shared" si="65"/>
        <v>0</v>
      </c>
      <c r="T251">
        <f t="shared" si="64"/>
        <v>0</v>
      </c>
      <c r="U251">
        <f t="shared" si="56"/>
        <v>0</v>
      </c>
      <c r="V251">
        <f t="shared" si="66"/>
        <v>0</v>
      </c>
      <c r="W251">
        <f t="shared" si="57"/>
        <v>0</v>
      </c>
      <c r="X251" t="s">
        <v>749</v>
      </c>
      <c r="Y251" t="s">
        <v>217</v>
      </c>
      <c r="Z251" s="3" t="s">
        <v>601</v>
      </c>
      <c r="AA251" t="s">
        <v>719</v>
      </c>
      <c r="AB251">
        <v>19</v>
      </c>
      <c r="AC251" s="8" t="s">
        <v>1036</v>
      </c>
      <c r="AD251" s="8"/>
      <c r="AE251" s="8">
        <v>172</v>
      </c>
      <c r="AF251" s="8"/>
      <c r="AG251" s="8" t="s">
        <v>1036</v>
      </c>
      <c r="AH251" s="8" t="s">
        <v>1032</v>
      </c>
      <c r="AI251">
        <v>0.28000000000000003</v>
      </c>
    </row>
    <row r="252" spans="3:35" x14ac:dyDescent="0.25">
      <c r="C252" t="s">
        <v>645</v>
      </c>
      <c r="D252" t="s">
        <v>12</v>
      </c>
      <c r="E252" t="s">
        <v>14</v>
      </c>
      <c r="F252">
        <v>2</v>
      </c>
      <c r="G252">
        <v>300.5</v>
      </c>
      <c r="H252">
        <v>567.29999999999995</v>
      </c>
      <c r="I252">
        <v>53</v>
      </c>
      <c r="L252">
        <f t="shared" si="59"/>
        <v>0</v>
      </c>
      <c r="M252">
        <f t="shared" si="55"/>
        <v>0</v>
      </c>
      <c r="N252">
        <f t="shared" si="60"/>
        <v>0</v>
      </c>
      <c r="O252">
        <f t="shared" si="61"/>
        <v>0</v>
      </c>
      <c r="P252">
        <f t="shared" si="62"/>
        <v>0</v>
      </c>
      <c r="Q252">
        <f t="shared" si="63"/>
        <v>0</v>
      </c>
      <c r="R252">
        <f t="shared" si="58"/>
        <v>0</v>
      </c>
      <c r="S252">
        <f t="shared" si="65"/>
        <v>0</v>
      </c>
      <c r="T252">
        <f t="shared" si="64"/>
        <v>0</v>
      </c>
      <c r="U252">
        <f t="shared" si="56"/>
        <v>0</v>
      </c>
      <c r="V252">
        <f t="shared" si="66"/>
        <v>0</v>
      </c>
      <c r="W252">
        <f t="shared" si="57"/>
        <v>0</v>
      </c>
      <c r="X252" t="s">
        <v>750</v>
      </c>
      <c r="Y252" t="s">
        <v>609</v>
      </c>
      <c r="Z252" s="3" t="s">
        <v>605</v>
      </c>
      <c r="AA252" t="s">
        <v>719</v>
      </c>
      <c r="AB252">
        <v>19</v>
      </c>
      <c r="AC252" s="8" t="s">
        <v>1036</v>
      </c>
      <c r="AD252" s="8"/>
      <c r="AE252" s="8">
        <v>172</v>
      </c>
      <c r="AF252" s="8"/>
      <c r="AG252" s="8" t="s">
        <v>1036</v>
      </c>
      <c r="AH252" s="8" t="s">
        <v>1032</v>
      </c>
      <c r="AI252">
        <v>0.28000000000000003</v>
      </c>
    </row>
    <row r="253" spans="3:35" x14ac:dyDescent="0.25">
      <c r="C253" t="s">
        <v>648</v>
      </c>
      <c r="D253" t="s">
        <v>12</v>
      </c>
      <c r="E253" t="s">
        <v>14</v>
      </c>
      <c r="F253">
        <v>2</v>
      </c>
      <c r="G253">
        <v>286.5</v>
      </c>
      <c r="H253">
        <v>516.4</v>
      </c>
      <c r="I253">
        <v>55.5</v>
      </c>
      <c r="L253">
        <f t="shared" si="59"/>
        <v>0</v>
      </c>
      <c r="M253">
        <f t="shared" si="55"/>
        <v>0</v>
      </c>
      <c r="N253">
        <f t="shared" si="60"/>
        <v>0</v>
      </c>
      <c r="O253">
        <f t="shared" si="61"/>
        <v>0</v>
      </c>
      <c r="P253">
        <f t="shared" si="62"/>
        <v>0</v>
      </c>
      <c r="Q253">
        <f t="shared" si="63"/>
        <v>0</v>
      </c>
      <c r="R253">
        <f t="shared" si="58"/>
        <v>0</v>
      </c>
      <c r="S253">
        <f t="shared" si="65"/>
        <v>0</v>
      </c>
      <c r="T253">
        <f t="shared" si="64"/>
        <v>0</v>
      </c>
      <c r="U253">
        <f t="shared" si="56"/>
        <v>0</v>
      </c>
      <c r="V253">
        <f t="shared" si="66"/>
        <v>0</v>
      </c>
      <c r="W253">
        <f t="shared" si="57"/>
        <v>0</v>
      </c>
      <c r="X253" t="s">
        <v>751</v>
      </c>
      <c r="Y253" t="s">
        <v>222</v>
      </c>
      <c r="Z253" s="3" t="s">
        <v>610</v>
      </c>
      <c r="AA253" t="s">
        <v>727</v>
      </c>
      <c r="AB253">
        <v>19</v>
      </c>
      <c r="AC253" s="8" t="s">
        <v>1036</v>
      </c>
      <c r="AD253" s="8"/>
      <c r="AE253" s="8">
        <v>172</v>
      </c>
      <c r="AF253" s="8"/>
      <c r="AG253" s="8" t="s">
        <v>1036</v>
      </c>
      <c r="AH253" s="8" t="s">
        <v>1032</v>
      </c>
      <c r="AI253">
        <v>0.28000000000000003</v>
      </c>
    </row>
    <row r="254" spans="3:35" x14ac:dyDescent="0.25">
      <c r="C254" t="s">
        <v>651</v>
      </c>
      <c r="D254" t="s">
        <v>12</v>
      </c>
      <c r="E254" t="s">
        <v>14</v>
      </c>
      <c r="F254">
        <v>2</v>
      </c>
      <c r="G254">
        <v>342.5</v>
      </c>
      <c r="H254">
        <v>649.20000000000005</v>
      </c>
      <c r="I254">
        <v>52.8</v>
      </c>
      <c r="K254" t="s">
        <v>715</v>
      </c>
      <c r="L254">
        <f t="shared" si="59"/>
        <v>1</v>
      </c>
      <c r="M254">
        <f t="shared" si="55"/>
        <v>0</v>
      </c>
      <c r="N254">
        <f t="shared" si="60"/>
        <v>0</v>
      </c>
      <c r="O254">
        <f t="shared" si="61"/>
        <v>0</v>
      </c>
      <c r="P254">
        <f t="shared" si="62"/>
        <v>0</v>
      </c>
      <c r="Q254">
        <f t="shared" si="63"/>
        <v>0</v>
      </c>
      <c r="R254">
        <f t="shared" si="58"/>
        <v>1</v>
      </c>
      <c r="S254">
        <f t="shared" si="65"/>
        <v>0</v>
      </c>
      <c r="T254">
        <f t="shared" si="64"/>
        <v>0</v>
      </c>
      <c r="U254">
        <f t="shared" si="56"/>
        <v>0</v>
      </c>
      <c r="V254">
        <f t="shared" si="66"/>
        <v>0</v>
      </c>
      <c r="W254">
        <f t="shared" si="57"/>
        <v>0</v>
      </c>
      <c r="X254" t="s">
        <v>752</v>
      </c>
      <c r="Y254" t="s">
        <v>229</v>
      </c>
      <c r="Z254" s="3" t="s">
        <v>753</v>
      </c>
      <c r="AA254" t="s">
        <v>719</v>
      </c>
      <c r="AB254">
        <v>19</v>
      </c>
      <c r="AC254" s="8" t="s">
        <v>1036</v>
      </c>
      <c r="AD254" s="8"/>
      <c r="AE254" s="8">
        <v>172</v>
      </c>
      <c r="AF254" s="8"/>
      <c r="AG254" s="8" t="s">
        <v>1036</v>
      </c>
      <c r="AH254" s="8" t="s">
        <v>1032</v>
      </c>
      <c r="AI254">
        <v>0.28000000000000003</v>
      </c>
    </row>
    <row r="255" spans="3:35" x14ac:dyDescent="0.25">
      <c r="C255" t="s">
        <v>654</v>
      </c>
      <c r="D255" t="s">
        <v>12</v>
      </c>
      <c r="E255" t="s">
        <v>14</v>
      </c>
      <c r="F255">
        <v>2</v>
      </c>
      <c r="G255">
        <v>285.5</v>
      </c>
      <c r="H255">
        <v>547.1</v>
      </c>
      <c r="I255">
        <v>52.2</v>
      </c>
      <c r="L255">
        <f t="shared" si="59"/>
        <v>0</v>
      </c>
      <c r="M255">
        <f t="shared" si="55"/>
        <v>0</v>
      </c>
      <c r="N255">
        <f t="shared" si="60"/>
        <v>0</v>
      </c>
      <c r="O255">
        <f t="shared" si="61"/>
        <v>0</v>
      </c>
      <c r="P255">
        <f t="shared" si="62"/>
        <v>0</v>
      </c>
      <c r="Q255">
        <f t="shared" si="63"/>
        <v>0</v>
      </c>
      <c r="R255">
        <f t="shared" si="58"/>
        <v>0</v>
      </c>
      <c r="S255">
        <f t="shared" si="65"/>
        <v>0</v>
      </c>
      <c r="T255">
        <f t="shared" si="64"/>
        <v>0</v>
      </c>
      <c r="U255">
        <f t="shared" si="56"/>
        <v>0</v>
      </c>
      <c r="V255">
        <f t="shared" si="66"/>
        <v>0</v>
      </c>
      <c r="W255">
        <f t="shared" si="57"/>
        <v>0</v>
      </c>
      <c r="X255" t="s">
        <v>754</v>
      </c>
      <c r="Y255" t="s">
        <v>622</v>
      </c>
      <c r="Z255" s="3" t="s">
        <v>619</v>
      </c>
      <c r="AA255" t="s">
        <v>755</v>
      </c>
      <c r="AB255">
        <v>19</v>
      </c>
      <c r="AC255" s="8" t="s">
        <v>1036</v>
      </c>
      <c r="AD255" s="8"/>
      <c r="AE255" s="8">
        <v>172</v>
      </c>
      <c r="AF255" s="8"/>
      <c r="AG255" s="8" t="s">
        <v>1036</v>
      </c>
      <c r="AH255" s="8" t="s">
        <v>1032</v>
      </c>
      <c r="AI255">
        <v>0.28000000000000003</v>
      </c>
    </row>
    <row r="256" spans="3:35" x14ac:dyDescent="0.25">
      <c r="C256" t="s">
        <v>657</v>
      </c>
      <c r="D256" t="s">
        <v>12</v>
      </c>
      <c r="E256" t="s">
        <v>14</v>
      </c>
      <c r="F256">
        <v>2</v>
      </c>
      <c r="G256">
        <v>369</v>
      </c>
      <c r="H256">
        <v>675.1</v>
      </c>
      <c r="I256">
        <v>54.7</v>
      </c>
      <c r="L256">
        <f t="shared" si="59"/>
        <v>0</v>
      </c>
      <c r="M256">
        <f t="shared" si="55"/>
        <v>0</v>
      </c>
      <c r="N256">
        <f t="shared" si="60"/>
        <v>0</v>
      </c>
      <c r="O256">
        <f t="shared" si="61"/>
        <v>0</v>
      </c>
      <c r="P256">
        <f t="shared" si="62"/>
        <v>0</v>
      </c>
      <c r="Q256">
        <f t="shared" si="63"/>
        <v>0</v>
      </c>
      <c r="R256">
        <f t="shared" si="58"/>
        <v>0</v>
      </c>
      <c r="S256">
        <f t="shared" si="65"/>
        <v>0</v>
      </c>
      <c r="T256">
        <f t="shared" si="64"/>
        <v>0</v>
      </c>
      <c r="U256">
        <f t="shared" si="56"/>
        <v>0</v>
      </c>
      <c r="V256">
        <f t="shared" si="66"/>
        <v>0</v>
      </c>
      <c r="W256">
        <f t="shared" si="57"/>
        <v>0</v>
      </c>
      <c r="X256" t="s">
        <v>756</v>
      </c>
      <c r="Y256" t="s">
        <v>626</v>
      </c>
      <c r="Z256" s="3" t="s">
        <v>757</v>
      </c>
      <c r="AA256" t="s">
        <v>713</v>
      </c>
      <c r="AB256">
        <v>19</v>
      </c>
      <c r="AC256" s="8" t="s">
        <v>1036</v>
      </c>
      <c r="AD256" s="8"/>
      <c r="AE256" s="8">
        <v>172</v>
      </c>
      <c r="AF256" s="8"/>
      <c r="AG256" s="8" t="s">
        <v>1036</v>
      </c>
      <c r="AH256" s="8" t="s">
        <v>1032</v>
      </c>
      <c r="AI256">
        <v>0.28000000000000003</v>
      </c>
    </row>
    <row r="257" spans="3:35" x14ac:dyDescent="0.25">
      <c r="C257" t="s">
        <v>660</v>
      </c>
      <c r="D257" t="s">
        <v>12</v>
      </c>
      <c r="E257" t="s">
        <v>14</v>
      </c>
      <c r="F257">
        <v>2</v>
      </c>
      <c r="G257">
        <v>310.5</v>
      </c>
      <c r="H257">
        <v>574.29999999999995</v>
      </c>
      <c r="I257">
        <v>54.1</v>
      </c>
      <c r="L257">
        <f t="shared" si="59"/>
        <v>0</v>
      </c>
      <c r="M257">
        <f t="shared" si="55"/>
        <v>0</v>
      </c>
      <c r="N257">
        <f t="shared" si="60"/>
        <v>0</v>
      </c>
      <c r="O257">
        <f t="shared" si="61"/>
        <v>0</v>
      </c>
      <c r="P257">
        <f t="shared" si="62"/>
        <v>0</v>
      </c>
      <c r="Q257">
        <f t="shared" si="63"/>
        <v>0</v>
      </c>
      <c r="R257">
        <f t="shared" si="58"/>
        <v>0</v>
      </c>
      <c r="S257">
        <f t="shared" si="65"/>
        <v>0</v>
      </c>
      <c r="T257">
        <f t="shared" si="64"/>
        <v>0</v>
      </c>
      <c r="U257">
        <f t="shared" si="56"/>
        <v>0</v>
      </c>
      <c r="V257">
        <f t="shared" si="66"/>
        <v>0</v>
      </c>
      <c r="W257">
        <f t="shared" si="57"/>
        <v>0</v>
      </c>
      <c r="X257" t="s">
        <v>758</v>
      </c>
      <c r="Y257" t="s">
        <v>631</v>
      </c>
      <c r="Z257" s="3" t="s">
        <v>627</v>
      </c>
      <c r="AA257" t="s">
        <v>719</v>
      </c>
      <c r="AB257">
        <v>19</v>
      </c>
      <c r="AC257" s="8" t="s">
        <v>1036</v>
      </c>
      <c r="AD257" s="8"/>
      <c r="AE257" s="8">
        <v>172</v>
      </c>
      <c r="AF257" s="8"/>
      <c r="AG257" s="8" t="s">
        <v>1036</v>
      </c>
      <c r="AH257" s="8" t="s">
        <v>1032</v>
      </c>
      <c r="AI257">
        <v>0.28000000000000003</v>
      </c>
    </row>
    <row r="258" spans="3:35" x14ac:dyDescent="0.25">
      <c r="C258" t="s">
        <v>663</v>
      </c>
      <c r="D258" t="s">
        <v>12</v>
      </c>
      <c r="E258" t="s">
        <v>14</v>
      </c>
      <c r="F258">
        <v>2</v>
      </c>
      <c r="G258">
        <v>330.5</v>
      </c>
      <c r="H258">
        <v>614.79999999999995</v>
      </c>
      <c r="I258">
        <v>53.8</v>
      </c>
      <c r="L258">
        <f t="shared" si="59"/>
        <v>0</v>
      </c>
      <c r="M258">
        <f t="shared" ref="M258:M321" si="67">IF(K258="Arthritis", 1, 0)</f>
        <v>0</v>
      </c>
      <c r="N258">
        <f t="shared" si="60"/>
        <v>0</v>
      </c>
      <c r="O258">
        <f t="shared" si="61"/>
        <v>0</v>
      </c>
      <c r="P258">
        <f t="shared" si="62"/>
        <v>0</v>
      </c>
      <c r="Q258">
        <f t="shared" si="63"/>
        <v>0</v>
      </c>
      <c r="R258">
        <f t="shared" si="58"/>
        <v>0</v>
      </c>
      <c r="S258">
        <f t="shared" si="65"/>
        <v>0</v>
      </c>
      <c r="T258">
        <f t="shared" si="64"/>
        <v>0</v>
      </c>
      <c r="U258">
        <f t="shared" si="56"/>
        <v>0</v>
      </c>
      <c r="V258">
        <f t="shared" si="66"/>
        <v>0</v>
      </c>
      <c r="W258">
        <f t="shared" si="57"/>
        <v>0</v>
      </c>
      <c r="X258" t="s">
        <v>759</v>
      </c>
      <c r="Y258" t="s">
        <v>636</v>
      </c>
      <c r="Z258" s="3" t="s">
        <v>627</v>
      </c>
      <c r="AA258" t="s">
        <v>727</v>
      </c>
      <c r="AB258">
        <v>19</v>
      </c>
      <c r="AC258" s="8" t="s">
        <v>1036</v>
      </c>
      <c r="AD258" s="8"/>
      <c r="AE258" s="8">
        <v>172</v>
      </c>
      <c r="AF258" s="8"/>
      <c r="AG258" s="8" t="s">
        <v>1036</v>
      </c>
      <c r="AH258" s="8" t="s">
        <v>1032</v>
      </c>
      <c r="AI258">
        <v>0.28000000000000003</v>
      </c>
    </row>
    <row r="259" spans="3:35" x14ac:dyDescent="0.25">
      <c r="C259" t="s">
        <v>665</v>
      </c>
      <c r="D259" t="s">
        <v>12</v>
      </c>
      <c r="E259" t="s">
        <v>14</v>
      </c>
      <c r="F259">
        <v>2</v>
      </c>
      <c r="G259">
        <v>325.5</v>
      </c>
      <c r="H259">
        <v>586.29999999999995</v>
      </c>
      <c r="I259">
        <v>55.5</v>
      </c>
      <c r="L259">
        <f t="shared" si="59"/>
        <v>0</v>
      </c>
      <c r="M259">
        <f t="shared" si="67"/>
        <v>0</v>
      </c>
      <c r="N259">
        <f t="shared" si="60"/>
        <v>0</v>
      </c>
      <c r="O259">
        <f t="shared" si="61"/>
        <v>0</v>
      </c>
      <c r="P259">
        <f t="shared" si="62"/>
        <v>0</v>
      </c>
      <c r="Q259">
        <f t="shared" si="63"/>
        <v>0</v>
      </c>
      <c r="R259">
        <f t="shared" si="58"/>
        <v>0</v>
      </c>
      <c r="S259">
        <f t="shared" si="65"/>
        <v>0</v>
      </c>
      <c r="T259">
        <f t="shared" si="64"/>
        <v>0</v>
      </c>
      <c r="U259">
        <f t="shared" si="56"/>
        <v>0</v>
      </c>
      <c r="V259">
        <f t="shared" si="66"/>
        <v>0</v>
      </c>
      <c r="W259">
        <f t="shared" si="57"/>
        <v>0</v>
      </c>
      <c r="X259" t="s">
        <v>760</v>
      </c>
      <c r="Y259" t="s">
        <v>640</v>
      </c>
      <c r="Z259" s="3" t="s">
        <v>761</v>
      </c>
      <c r="AA259" t="s">
        <v>727</v>
      </c>
      <c r="AB259">
        <v>19</v>
      </c>
      <c r="AC259" s="8" t="s">
        <v>1036</v>
      </c>
      <c r="AD259" s="8"/>
      <c r="AE259" s="8">
        <v>172</v>
      </c>
      <c r="AF259" s="8"/>
      <c r="AG259" s="8" t="s">
        <v>1036</v>
      </c>
      <c r="AH259" s="8" t="s">
        <v>1032</v>
      </c>
      <c r="AI259">
        <v>0.28000000000000003</v>
      </c>
    </row>
    <row r="260" spans="3:35" x14ac:dyDescent="0.25">
      <c r="C260" t="s">
        <v>669</v>
      </c>
      <c r="D260" t="s">
        <v>12</v>
      </c>
      <c r="E260" t="s">
        <v>14</v>
      </c>
      <c r="F260">
        <v>2</v>
      </c>
      <c r="G260">
        <v>312.5</v>
      </c>
      <c r="H260">
        <v>567.9</v>
      </c>
      <c r="I260">
        <v>55</v>
      </c>
      <c r="L260">
        <f t="shared" si="59"/>
        <v>0</v>
      </c>
      <c r="M260">
        <f t="shared" si="67"/>
        <v>0</v>
      </c>
      <c r="N260">
        <f t="shared" si="60"/>
        <v>0</v>
      </c>
      <c r="O260">
        <f t="shared" si="61"/>
        <v>0</v>
      </c>
      <c r="P260">
        <f t="shared" si="62"/>
        <v>0</v>
      </c>
      <c r="Q260">
        <f t="shared" si="63"/>
        <v>0</v>
      </c>
      <c r="R260">
        <f t="shared" si="58"/>
        <v>0</v>
      </c>
      <c r="S260">
        <f t="shared" si="65"/>
        <v>0</v>
      </c>
      <c r="T260">
        <f t="shared" si="64"/>
        <v>0</v>
      </c>
      <c r="U260">
        <f t="shared" si="56"/>
        <v>0</v>
      </c>
      <c r="V260">
        <f t="shared" si="66"/>
        <v>0</v>
      </c>
      <c r="W260">
        <f t="shared" si="57"/>
        <v>0</v>
      </c>
      <c r="X260" t="s">
        <v>762</v>
      </c>
      <c r="Y260" t="s">
        <v>644</v>
      </c>
      <c r="Z260" s="3" t="s">
        <v>637</v>
      </c>
      <c r="AA260" t="s">
        <v>755</v>
      </c>
      <c r="AB260">
        <v>19</v>
      </c>
      <c r="AC260" s="8" t="s">
        <v>1036</v>
      </c>
      <c r="AD260" s="8"/>
      <c r="AE260" s="8">
        <v>172</v>
      </c>
      <c r="AF260" s="8"/>
      <c r="AG260" s="8" t="s">
        <v>1036</v>
      </c>
      <c r="AH260" s="8" t="s">
        <v>1032</v>
      </c>
      <c r="AI260">
        <v>0.28000000000000003</v>
      </c>
    </row>
    <row r="261" spans="3:35" x14ac:dyDescent="0.25">
      <c r="C261" t="s">
        <v>671</v>
      </c>
      <c r="D261" t="s">
        <v>12</v>
      </c>
      <c r="E261" t="s">
        <v>14</v>
      </c>
      <c r="F261">
        <v>2</v>
      </c>
      <c r="G261">
        <v>350.5</v>
      </c>
      <c r="H261">
        <v>644.6</v>
      </c>
      <c r="I261">
        <v>54.4</v>
      </c>
      <c r="L261">
        <f t="shared" si="59"/>
        <v>0</v>
      </c>
      <c r="M261">
        <f t="shared" si="67"/>
        <v>0</v>
      </c>
      <c r="N261">
        <f t="shared" si="60"/>
        <v>0</v>
      </c>
      <c r="O261">
        <f t="shared" si="61"/>
        <v>0</v>
      </c>
      <c r="P261">
        <f t="shared" si="62"/>
        <v>0</v>
      </c>
      <c r="Q261">
        <f t="shared" si="63"/>
        <v>0</v>
      </c>
      <c r="R261">
        <f t="shared" si="58"/>
        <v>0</v>
      </c>
      <c r="S261">
        <f t="shared" si="65"/>
        <v>0</v>
      </c>
      <c r="T261">
        <f t="shared" si="64"/>
        <v>0</v>
      </c>
      <c r="U261">
        <f t="shared" si="56"/>
        <v>0</v>
      </c>
      <c r="V261">
        <f t="shared" si="66"/>
        <v>0</v>
      </c>
      <c r="W261">
        <f t="shared" si="57"/>
        <v>0</v>
      </c>
      <c r="X261" t="s">
        <v>763</v>
      </c>
      <c r="Y261" t="s">
        <v>650</v>
      </c>
      <c r="Z261" s="3" t="s">
        <v>641</v>
      </c>
      <c r="AA261" t="s">
        <v>706</v>
      </c>
      <c r="AB261">
        <v>19</v>
      </c>
      <c r="AC261" s="8" t="s">
        <v>1036</v>
      </c>
      <c r="AD261" s="8"/>
      <c r="AE261" s="8">
        <v>172</v>
      </c>
      <c r="AF261" s="8"/>
      <c r="AG261" s="8" t="s">
        <v>1036</v>
      </c>
      <c r="AH261" s="8" t="s">
        <v>1032</v>
      </c>
      <c r="AI261">
        <v>0.28000000000000003</v>
      </c>
    </row>
    <row r="262" spans="3:35" x14ac:dyDescent="0.25">
      <c r="C262" t="s">
        <v>674</v>
      </c>
      <c r="D262" t="s">
        <v>12</v>
      </c>
      <c r="E262" t="s">
        <v>14</v>
      </c>
      <c r="F262">
        <v>2</v>
      </c>
      <c r="G262">
        <v>328</v>
      </c>
      <c r="H262">
        <v>620.1</v>
      </c>
      <c r="I262">
        <v>52.9</v>
      </c>
      <c r="K262" t="s">
        <v>715</v>
      </c>
      <c r="L262">
        <f t="shared" si="59"/>
        <v>1</v>
      </c>
      <c r="M262">
        <f t="shared" si="67"/>
        <v>0</v>
      </c>
      <c r="N262">
        <f t="shared" si="60"/>
        <v>0</v>
      </c>
      <c r="O262">
        <f t="shared" si="61"/>
        <v>0</v>
      </c>
      <c r="P262">
        <f t="shared" si="62"/>
        <v>0</v>
      </c>
      <c r="Q262">
        <f t="shared" si="63"/>
        <v>0</v>
      </c>
      <c r="R262">
        <f t="shared" si="58"/>
        <v>1</v>
      </c>
      <c r="S262">
        <f t="shared" si="65"/>
        <v>0</v>
      </c>
      <c r="T262">
        <f t="shared" si="64"/>
        <v>0</v>
      </c>
      <c r="U262">
        <f t="shared" si="56"/>
        <v>0</v>
      </c>
      <c r="V262">
        <f t="shared" si="66"/>
        <v>0</v>
      </c>
      <c r="W262">
        <f t="shared" si="57"/>
        <v>0</v>
      </c>
      <c r="X262" t="s">
        <v>764</v>
      </c>
      <c r="Y262" t="s">
        <v>653</v>
      </c>
      <c r="Z262" s="3" t="s">
        <v>74</v>
      </c>
      <c r="AA262" t="s">
        <v>727</v>
      </c>
      <c r="AB262">
        <v>19</v>
      </c>
      <c r="AC262" s="8" t="s">
        <v>1036</v>
      </c>
      <c r="AD262" s="8"/>
      <c r="AE262" s="8">
        <v>172</v>
      </c>
      <c r="AF262" s="8"/>
      <c r="AG262" s="8" t="s">
        <v>1036</v>
      </c>
      <c r="AH262" s="8" t="s">
        <v>1032</v>
      </c>
      <c r="AI262">
        <v>0.28000000000000003</v>
      </c>
    </row>
    <row r="263" spans="3:35" x14ac:dyDescent="0.25">
      <c r="C263" t="s">
        <v>677</v>
      </c>
      <c r="D263" t="s">
        <v>12</v>
      </c>
      <c r="E263" t="s">
        <v>14</v>
      </c>
      <c r="F263">
        <v>2</v>
      </c>
      <c r="G263">
        <v>335.5</v>
      </c>
      <c r="H263">
        <v>599.79999999999995</v>
      </c>
      <c r="I263">
        <v>55.9</v>
      </c>
      <c r="L263">
        <f t="shared" si="59"/>
        <v>0</v>
      </c>
      <c r="M263">
        <f t="shared" si="67"/>
        <v>0</v>
      </c>
      <c r="N263">
        <f t="shared" si="60"/>
        <v>0</v>
      </c>
      <c r="O263">
        <f t="shared" si="61"/>
        <v>0</v>
      </c>
      <c r="P263">
        <f t="shared" si="62"/>
        <v>0</v>
      </c>
      <c r="Q263">
        <f t="shared" si="63"/>
        <v>0</v>
      </c>
      <c r="R263">
        <f t="shared" si="58"/>
        <v>0</v>
      </c>
      <c r="S263">
        <f t="shared" si="65"/>
        <v>0</v>
      </c>
      <c r="T263">
        <f t="shared" si="64"/>
        <v>0</v>
      </c>
      <c r="U263">
        <f t="shared" si="56"/>
        <v>0</v>
      </c>
      <c r="V263">
        <f t="shared" si="66"/>
        <v>0</v>
      </c>
      <c r="W263">
        <f t="shared" si="57"/>
        <v>0</v>
      </c>
      <c r="X263" t="s">
        <v>765</v>
      </c>
      <c r="Y263" t="s">
        <v>766</v>
      </c>
      <c r="Z263" s="3" t="s">
        <v>753</v>
      </c>
      <c r="AA263" t="s">
        <v>747</v>
      </c>
      <c r="AB263">
        <v>19</v>
      </c>
      <c r="AC263" s="8" t="s">
        <v>1036</v>
      </c>
      <c r="AD263" s="8"/>
      <c r="AE263" s="8">
        <v>172</v>
      </c>
      <c r="AF263" s="8"/>
      <c r="AG263" s="8" t="s">
        <v>1036</v>
      </c>
      <c r="AH263" s="8" t="s">
        <v>1032</v>
      </c>
      <c r="AI263">
        <v>0.28000000000000003</v>
      </c>
    </row>
    <row r="264" spans="3:35" x14ac:dyDescent="0.25">
      <c r="C264" t="s">
        <v>680</v>
      </c>
      <c r="D264" t="s">
        <v>12</v>
      </c>
      <c r="E264" t="s">
        <v>14</v>
      </c>
      <c r="F264">
        <v>2</v>
      </c>
      <c r="G264">
        <v>320.5</v>
      </c>
      <c r="H264">
        <v>573.6</v>
      </c>
      <c r="I264">
        <v>55.9</v>
      </c>
      <c r="L264">
        <f t="shared" si="59"/>
        <v>0</v>
      </c>
      <c r="M264">
        <f t="shared" si="67"/>
        <v>0</v>
      </c>
      <c r="N264">
        <f t="shared" si="60"/>
        <v>0</v>
      </c>
      <c r="O264">
        <f t="shared" si="61"/>
        <v>0</v>
      </c>
      <c r="P264">
        <f t="shared" si="62"/>
        <v>0</v>
      </c>
      <c r="Q264">
        <f t="shared" si="63"/>
        <v>0</v>
      </c>
      <c r="R264">
        <f t="shared" si="58"/>
        <v>0</v>
      </c>
      <c r="S264">
        <f t="shared" si="65"/>
        <v>0</v>
      </c>
      <c r="T264">
        <f t="shared" si="64"/>
        <v>0</v>
      </c>
      <c r="U264">
        <f t="shared" si="56"/>
        <v>0</v>
      </c>
      <c r="V264">
        <f t="shared" si="66"/>
        <v>0</v>
      </c>
      <c r="W264">
        <f t="shared" si="57"/>
        <v>0</v>
      </c>
      <c r="X264" t="s">
        <v>767</v>
      </c>
      <c r="Y264" t="s">
        <v>656</v>
      </c>
      <c r="Z264" s="3" t="s">
        <v>494</v>
      </c>
      <c r="AA264" t="s">
        <v>719</v>
      </c>
      <c r="AB264">
        <v>19</v>
      </c>
      <c r="AC264" s="8" t="s">
        <v>1036</v>
      </c>
      <c r="AD264" s="8"/>
      <c r="AE264" s="8">
        <v>172</v>
      </c>
      <c r="AF264" s="8"/>
      <c r="AG264" s="8" t="s">
        <v>1036</v>
      </c>
      <c r="AH264" s="8" t="s">
        <v>1032</v>
      </c>
      <c r="AI264">
        <v>0.28000000000000003</v>
      </c>
    </row>
    <row r="265" spans="3:35" x14ac:dyDescent="0.25">
      <c r="C265" t="s">
        <v>683</v>
      </c>
      <c r="D265" t="s">
        <v>12</v>
      </c>
      <c r="E265" t="s">
        <v>14</v>
      </c>
      <c r="F265">
        <v>2</v>
      </c>
      <c r="G265">
        <v>332.5</v>
      </c>
      <c r="H265">
        <v>624.4</v>
      </c>
      <c r="I265">
        <v>53.3</v>
      </c>
      <c r="K265" t="s">
        <v>715</v>
      </c>
      <c r="L265">
        <f t="shared" si="59"/>
        <v>1</v>
      </c>
      <c r="M265">
        <f t="shared" si="67"/>
        <v>0</v>
      </c>
      <c r="N265">
        <f t="shared" si="60"/>
        <v>0</v>
      </c>
      <c r="O265">
        <f t="shared" si="61"/>
        <v>0</v>
      </c>
      <c r="P265">
        <f t="shared" si="62"/>
        <v>0</v>
      </c>
      <c r="Q265">
        <f t="shared" si="63"/>
        <v>0</v>
      </c>
      <c r="R265">
        <f t="shared" si="58"/>
        <v>1</v>
      </c>
      <c r="S265">
        <f t="shared" si="65"/>
        <v>0</v>
      </c>
      <c r="T265">
        <f t="shared" si="64"/>
        <v>0</v>
      </c>
      <c r="U265">
        <f t="shared" si="56"/>
        <v>0</v>
      </c>
      <c r="V265">
        <f t="shared" si="66"/>
        <v>0</v>
      </c>
      <c r="W265">
        <f t="shared" si="57"/>
        <v>0</v>
      </c>
      <c r="X265" t="s">
        <v>768</v>
      </c>
      <c r="Y265" t="s">
        <v>656</v>
      </c>
      <c r="Z265" s="3" t="s">
        <v>88</v>
      </c>
      <c r="AA265" t="s">
        <v>719</v>
      </c>
      <c r="AB265">
        <v>19</v>
      </c>
      <c r="AC265" s="8" t="s">
        <v>1036</v>
      </c>
      <c r="AD265" s="8"/>
      <c r="AE265" s="8">
        <v>172</v>
      </c>
      <c r="AF265" s="8"/>
      <c r="AG265" s="8" t="s">
        <v>1036</v>
      </c>
      <c r="AH265" s="8" t="s">
        <v>1032</v>
      </c>
      <c r="AI265">
        <v>0.28000000000000003</v>
      </c>
    </row>
    <row r="266" spans="3:35" x14ac:dyDescent="0.25">
      <c r="C266" t="s">
        <v>685</v>
      </c>
      <c r="D266" t="s">
        <v>12</v>
      </c>
      <c r="E266" t="s">
        <v>14</v>
      </c>
      <c r="F266">
        <v>2</v>
      </c>
      <c r="G266">
        <v>314</v>
      </c>
      <c r="H266">
        <v>606.70000000000005</v>
      </c>
      <c r="I266">
        <v>51.8</v>
      </c>
      <c r="L266">
        <f t="shared" si="59"/>
        <v>0</v>
      </c>
      <c r="M266">
        <f t="shared" si="67"/>
        <v>0</v>
      </c>
      <c r="N266">
        <f t="shared" si="60"/>
        <v>0</v>
      </c>
      <c r="O266">
        <f t="shared" si="61"/>
        <v>0</v>
      </c>
      <c r="P266">
        <f t="shared" si="62"/>
        <v>0</v>
      </c>
      <c r="Q266">
        <f t="shared" si="63"/>
        <v>0</v>
      </c>
      <c r="R266">
        <f t="shared" si="58"/>
        <v>0</v>
      </c>
      <c r="S266">
        <f t="shared" si="65"/>
        <v>0</v>
      </c>
      <c r="T266">
        <f t="shared" si="64"/>
        <v>0</v>
      </c>
      <c r="U266">
        <f t="shared" ref="U266:U329" si="68">IF(K266="Pyogenic Lesions", 1, 0)</f>
        <v>0</v>
      </c>
      <c r="V266">
        <f t="shared" si="66"/>
        <v>0</v>
      </c>
      <c r="W266">
        <f t="shared" si="57"/>
        <v>0</v>
      </c>
      <c r="X266" t="s">
        <v>769</v>
      </c>
      <c r="Y266" t="s">
        <v>659</v>
      </c>
      <c r="Z266" s="3" t="s">
        <v>64</v>
      </c>
      <c r="AA266" t="s">
        <v>727</v>
      </c>
      <c r="AB266">
        <v>19</v>
      </c>
      <c r="AC266" s="8" t="s">
        <v>1036</v>
      </c>
      <c r="AD266" s="8"/>
      <c r="AE266" s="8">
        <v>172</v>
      </c>
      <c r="AF266" s="8"/>
      <c r="AG266" s="8" t="s">
        <v>1036</v>
      </c>
      <c r="AH266" s="8" t="s">
        <v>1032</v>
      </c>
      <c r="AI266">
        <v>0.28000000000000003</v>
      </c>
    </row>
    <row r="267" spans="3:35" x14ac:dyDescent="0.25">
      <c r="C267" t="s">
        <v>688</v>
      </c>
      <c r="D267" t="s">
        <v>12</v>
      </c>
      <c r="E267" t="s">
        <v>14</v>
      </c>
      <c r="F267">
        <v>2</v>
      </c>
      <c r="G267">
        <v>322.5</v>
      </c>
      <c r="H267">
        <v>583.4</v>
      </c>
      <c r="I267">
        <v>55.3</v>
      </c>
      <c r="L267">
        <f t="shared" si="59"/>
        <v>0</v>
      </c>
      <c r="M267">
        <f t="shared" si="67"/>
        <v>0</v>
      </c>
      <c r="N267">
        <f t="shared" si="60"/>
        <v>0</v>
      </c>
      <c r="O267">
        <f t="shared" si="61"/>
        <v>0</v>
      </c>
      <c r="P267">
        <f t="shared" si="62"/>
        <v>0</v>
      </c>
      <c r="Q267">
        <f t="shared" si="63"/>
        <v>0</v>
      </c>
      <c r="R267">
        <f t="shared" si="58"/>
        <v>0</v>
      </c>
      <c r="S267">
        <f t="shared" si="65"/>
        <v>0</v>
      </c>
      <c r="T267">
        <f t="shared" si="64"/>
        <v>0</v>
      </c>
      <c r="U267">
        <f t="shared" si="68"/>
        <v>0</v>
      </c>
      <c r="V267">
        <f t="shared" si="66"/>
        <v>0</v>
      </c>
      <c r="W267">
        <f t="shared" si="57"/>
        <v>0</v>
      </c>
      <c r="X267" t="s">
        <v>770</v>
      </c>
      <c r="Y267" t="s">
        <v>771</v>
      </c>
      <c r="Z267" s="3" t="s">
        <v>74</v>
      </c>
      <c r="AA267" t="s">
        <v>727</v>
      </c>
      <c r="AB267">
        <v>19</v>
      </c>
      <c r="AC267" s="8" t="s">
        <v>1036</v>
      </c>
      <c r="AD267" s="8"/>
      <c r="AE267" s="8">
        <v>172</v>
      </c>
      <c r="AF267" s="8"/>
      <c r="AG267" s="8" t="s">
        <v>1036</v>
      </c>
      <c r="AH267" s="8" t="s">
        <v>1032</v>
      </c>
      <c r="AI267">
        <v>0.28000000000000003</v>
      </c>
    </row>
    <row r="268" spans="3:35" x14ac:dyDescent="0.25">
      <c r="C268" t="s">
        <v>431</v>
      </c>
      <c r="D268" t="s">
        <v>12</v>
      </c>
      <c r="E268" t="s">
        <v>14</v>
      </c>
      <c r="F268">
        <v>2</v>
      </c>
      <c r="G268">
        <v>324.5</v>
      </c>
      <c r="H268">
        <v>587.1</v>
      </c>
      <c r="I268">
        <v>55.3</v>
      </c>
      <c r="L268">
        <f t="shared" si="59"/>
        <v>0</v>
      </c>
      <c r="M268">
        <f t="shared" si="67"/>
        <v>0</v>
      </c>
      <c r="N268">
        <f t="shared" si="60"/>
        <v>0</v>
      </c>
      <c r="O268">
        <f t="shared" si="61"/>
        <v>0</v>
      </c>
      <c r="P268">
        <f t="shared" si="62"/>
        <v>0</v>
      </c>
      <c r="Q268">
        <f t="shared" si="63"/>
        <v>0</v>
      </c>
      <c r="R268">
        <f t="shared" si="58"/>
        <v>0</v>
      </c>
      <c r="S268">
        <f t="shared" si="65"/>
        <v>0</v>
      </c>
      <c r="T268">
        <f t="shared" si="64"/>
        <v>0</v>
      </c>
      <c r="U268">
        <f t="shared" si="68"/>
        <v>0</v>
      </c>
      <c r="V268">
        <f t="shared" si="66"/>
        <v>0</v>
      </c>
      <c r="W268">
        <f t="shared" si="57"/>
        <v>0</v>
      </c>
      <c r="X268" t="s">
        <v>772</v>
      </c>
      <c r="Y268" t="s">
        <v>771</v>
      </c>
      <c r="Z268" s="3" t="s">
        <v>537</v>
      </c>
      <c r="AA268" t="s">
        <v>727</v>
      </c>
      <c r="AB268">
        <v>19</v>
      </c>
      <c r="AC268" s="8" t="s">
        <v>1036</v>
      </c>
      <c r="AD268" s="8"/>
      <c r="AE268" s="8">
        <v>172</v>
      </c>
      <c r="AF268" s="8"/>
      <c r="AG268" s="8" t="s">
        <v>1036</v>
      </c>
      <c r="AH268" s="8" t="s">
        <v>1032</v>
      </c>
      <c r="AI268">
        <v>0.28000000000000003</v>
      </c>
    </row>
    <row r="269" spans="3:35" x14ac:dyDescent="0.25">
      <c r="C269" t="s">
        <v>433</v>
      </c>
      <c r="D269" t="s">
        <v>12</v>
      </c>
      <c r="E269" t="s">
        <v>14</v>
      </c>
      <c r="F269">
        <v>2</v>
      </c>
      <c r="G269">
        <v>345</v>
      </c>
      <c r="H269">
        <v>626.4</v>
      </c>
      <c r="I269">
        <v>55.1</v>
      </c>
      <c r="L269">
        <f t="shared" si="59"/>
        <v>0</v>
      </c>
      <c r="M269">
        <f t="shared" si="67"/>
        <v>0</v>
      </c>
      <c r="N269">
        <f t="shared" si="60"/>
        <v>0</v>
      </c>
      <c r="O269">
        <f t="shared" si="61"/>
        <v>0</v>
      </c>
      <c r="P269">
        <f t="shared" si="62"/>
        <v>0</v>
      </c>
      <c r="Q269">
        <f t="shared" si="63"/>
        <v>0</v>
      </c>
      <c r="R269">
        <f t="shared" si="58"/>
        <v>0</v>
      </c>
      <c r="S269">
        <f t="shared" si="65"/>
        <v>0</v>
      </c>
      <c r="T269">
        <f t="shared" si="64"/>
        <v>0</v>
      </c>
      <c r="U269">
        <f t="shared" si="68"/>
        <v>0</v>
      </c>
      <c r="V269">
        <f t="shared" si="66"/>
        <v>0</v>
      </c>
      <c r="W269">
        <f t="shared" si="57"/>
        <v>0</v>
      </c>
      <c r="X269" t="s">
        <v>773</v>
      </c>
      <c r="Y269" t="s">
        <v>667</v>
      </c>
      <c r="Z269" s="3" t="s">
        <v>537</v>
      </c>
      <c r="AA269" t="s">
        <v>747</v>
      </c>
      <c r="AB269">
        <v>19</v>
      </c>
      <c r="AC269" s="8" t="s">
        <v>1036</v>
      </c>
      <c r="AD269" s="8"/>
      <c r="AE269" s="8">
        <v>172</v>
      </c>
      <c r="AF269" s="8"/>
      <c r="AG269" s="8" t="s">
        <v>1036</v>
      </c>
      <c r="AH269" s="8" t="s">
        <v>1032</v>
      </c>
      <c r="AI269">
        <v>0.28000000000000003</v>
      </c>
    </row>
    <row r="270" spans="3:35" x14ac:dyDescent="0.25">
      <c r="C270" t="s">
        <v>436</v>
      </c>
      <c r="D270" t="s">
        <v>12</v>
      </c>
      <c r="E270" t="s">
        <v>14</v>
      </c>
      <c r="F270">
        <v>2</v>
      </c>
      <c r="G270">
        <v>309</v>
      </c>
      <c r="H270">
        <v>563.29999999999995</v>
      </c>
      <c r="I270">
        <v>54.9</v>
      </c>
      <c r="L270">
        <f t="shared" si="59"/>
        <v>0</v>
      </c>
      <c r="M270">
        <f t="shared" si="67"/>
        <v>0</v>
      </c>
      <c r="N270">
        <f t="shared" si="60"/>
        <v>0</v>
      </c>
      <c r="O270">
        <f t="shared" si="61"/>
        <v>0</v>
      </c>
      <c r="P270">
        <f t="shared" si="62"/>
        <v>0</v>
      </c>
      <c r="Q270">
        <f t="shared" si="63"/>
        <v>0</v>
      </c>
      <c r="R270">
        <f t="shared" si="58"/>
        <v>0</v>
      </c>
      <c r="S270">
        <f t="shared" si="65"/>
        <v>0</v>
      </c>
      <c r="T270">
        <f t="shared" si="64"/>
        <v>0</v>
      </c>
      <c r="U270">
        <f t="shared" si="68"/>
        <v>0</v>
      </c>
      <c r="V270">
        <f t="shared" si="66"/>
        <v>0</v>
      </c>
      <c r="W270">
        <f t="shared" ref="W270:W333" si="69">IF(K270="Other", 1, 0)</f>
        <v>0</v>
      </c>
      <c r="X270" t="s">
        <v>774</v>
      </c>
      <c r="Y270" t="s">
        <v>673</v>
      </c>
      <c r="Z270" s="3" t="s">
        <v>83</v>
      </c>
      <c r="AA270" t="s">
        <v>747</v>
      </c>
      <c r="AB270">
        <v>19</v>
      </c>
      <c r="AC270" s="8" t="s">
        <v>1036</v>
      </c>
      <c r="AD270" s="8"/>
      <c r="AE270" s="8">
        <v>172</v>
      </c>
      <c r="AF270" s="8"/>
      <c r="AG270" s="8" t="s">
        <v>1036</v>
      </c>
      <c r="AH270" s="8" t="s">
        <v>1032</v>
      </c>
      <c r="AI270">
        <v>0.28000000000000003</v>
      </c>
    </row>
    <row r="271" spans="3:35" x14ac:dyDescent="0.25">
      <c r="C271" t="s">
        <v>439</v>
      </c>
      <c r="D271" t="s">
        <v>12</v>
      </c>
      <c r="E271" t="s">
        <v>14</v>
      </c>
      <c r="F271">
        <v>2</v>
      </c>
      <c r="G271">
        <v>335.5</v>
      </c>
      <c r="H271">
        <v>599.79999999999995</v>
      </c>
      <c r="I271">
        <v>55.9</v>
      </c>
      <c r="L271">
        <f t="shared" si="59"/>
        <v>0</v>
      </c>
      <c r="M271">
        <f t="shared" si="67"/>
        <v>0</v>
      </c>
      <c r="N271">
        <f t="shared" si="60"/>
        <v>0</v>
      </c>
      <c r="O271">
        <f t="shared" si="61"/>
        <v>0</v>
      </c>
      <c r="P271">
        <f t="shared" si="62"/>
        <v>0</v>
      </c>
      <c r="Q271">
        <f t="shared" si="63"/>
        <v>0</v>
      </c>
      <c r="R271">
        <f t="shared" ref="R271:R334" si="70">IF(K271="SRM", 1, 0)</f>
        <v>0</v>
      </c>
      <c r="S271">
        <f t="shared" si="65"/>
        <v>0</v>
      </c>
      <c r="T271">
        <f t="shared" si="64"/>
        <v>0</v>
      </c>
      <c r="U271">
        <f t="shared" si="68"/>
        <v>0</v>
      </c>
      <c r="V271">
        <f t="shared" si="66"/>
        <v>0</v>
      </c>
      <c r="W271">
        <f t="shared" si="69"/>
        <v>0</v>
      </c>
      <c r="X271" t="s">
        <v>775</v>
      </c>
      <c r="Y271" t="s">
        <v>676</v>
      </c>
      <c r="Z271" s="3" t="s">
        <v>92</v>
      </c>
      <c r="AA271" t="s">
        <v>727</v>
      </c>
      <c r="AB271">
        <v>19</v>
      </c>
      <c r="AC271" s="8" t="s">
        <v>1036</v>
      </c>
      <c r="AD271" s="8"/>
      <c r="AE271" s="8">
        <v>172</v>
      </c>
      <c r="AF271" s="8"/>
      <c r="AG271" s="8" t="s">
        <v>1036</v>
      </c>
      <c r="AH271" s="8" t="s">
        <v>1032</v>
      </c>
      <c r="AI271">
        <v>0.28000000000000003</v>
      </c>
    </row>
    <row r="272" spans="3:35" x14ac:dyDescent="0.25">
      <c r="C272" t="s">
        <v>442</v>
      </c>
      <c r="D272" t="s">
        <v>12</v>
      </c>
      <c r="E272" t="s">
        <v>14</v>
      </c>
      <c r="F272">
        <v>2</v>
      </c>
      <c r="G272">
        <v>352.5</v>
      </c>
      <c r="H272">
        <v>666.5</v>
      </c>
      <c r="I272">
        <v>52.9</v>
      </c>
      <c r="L272">
        <f t="shared" si="59"/>
        <v>0</v>
      </c>
      <c r="M272">
        <f t="shared" si="67"/>
        <v>0</v>
      </c>
      <c r="N272">
        <f t="shared" si="60"/>
        <v>0</v>
      </c>
      <c r="O272">
        <f t="shared" si="61"/>
        <v>0</v>
      </c>
      <c r="P272">
        <f t="shared" si="62"/>
        <v>0</v>
      </c>
      <c r="Q272">
        <f t="shared" si="63"/>
        <v>0</v>
      </c>
      <c r="R272">
        <f t="shared" si="70"/>
        <v>0</v>
      </c>
      <c r="S272">
        <f t="shared" si="65"/>
        <v>0</v>
      </c>
      <c r="T272">
        <f t="shared" si="64"/>
        <v>0</v>
      </c>
      <c r="U272">
        <f t="shared" si="68"/>
        <v>0</v>
      </c>
      <c r="V272">
        <f t="shared" si="66"/>
        <v>0</v>
      </c>
      <c r="W272">
        <f t="shared" si="69"/>
        <v>0</v>
      </c>
      <c r="X272" t="s">
        <v>776</v>
      </c>
      <c r="Y272" t="s">
        <v>682</v>
      </c>
      <c r="Z272" s="3" t="s">
        <v>96</v>
      </c>
      <c r="AA272" t="s">
        <v>755</v>
      </c>
      <c r="AB272">
        <v>19</v>
      </c>
      <c r="AC272" s="8" t="s">
        <v>1036</v>
      </c>
      <c r="AD272" s="8"/>
      <c r="AE272" s="8">
        <v>172</v>
      </c>
      <c r="AF272" s="8"/>
      <c r="AG272" s="8" t="s">
        <v>1036</v>
      </c>
      <c r="AH272" s="8" t="s">
        <v>1032</v>
      </c>
      <c r="AI272">
        <v>0.28000000000000003</v>
      </c>
    </row>
    <row r="273" spans="1:35" x14ac:dyDescent="0.25">
      <c r="A273" s="2"/>
      <c r="B273" s="2"/>
      <c r="C273" s="2" t="s">
        <v>445</v>
      </c>
      <c r="D273" s="2" t="s">
        <v>12</v>
      </c>
      <c r="E273" s="2" t="s">
        <v>14</v>
      </c>
      <c r="F273" s="2">
        <v>2</v>
      </c>
      <c r="G273" s="2">
        <v>354.5</v>
      </c>
      <c r="H273" s="2">
        <v>648</v>
      </c>
      <c r="I273" s="2">
        <v>54.7</v>
      </c>
      <c r="J273" s="2"/>
      <c r="K273" s="2" t="s">
        <v>715</v>
      </c>
      <c r="L273" s="2">
        <f t="shared" si="59"/>
        <v>1</v>
      </c>
      <c r="M273" s="2">
        <f t="shared" si="67"/>
        <v>0</v>
      </c>
      <c r="N273" s="2">
        <f t="shared" si="60"/>
        <v>0</v>
      </c>
      <c r="O273" s="2">
        <f t="shared" si="61"/>
        <v>0</v>
      </c>
      <c r="P273" s="2">
        <f t="shared" si="62"/>
        <v>0</v>
      </c>
      <c r="Q273" s="2">
        <f t="shared" si="63"/>
        <v>0</v>
      </c>
      <c r="R273" s="2">
        <f t="shared" si="70"/>
        <v>1</v>
      </c>
      <c r="S273" s="2">
        <f t="shared" si="65"/>
        <v>0</v>
      </c>
      <c r="T273" s="2">
        <f t="shared" si="64"/>
        <v>0</v>
      </c>
      <c r="U273" s="2">
        <f t="shared" si="68"/>
        <v>0</v>
      </c>
      <c r="V273" s="2">
        <f t="shared" si="66"/>
        <v>0</v>
      </c>
      <c r="W273" s="2">
        <f t="shared" si="69"/>
        <v>0</v>
      </c>
      <c r="X273" s="2" t="s">
        <v>777</v>
      </c>
      <c r="Y273" s="2" t="s">
        <v>196</v>
      </c>
      <c r="Z273" s="6" t="s">
        <v>104</v>
      </c>
      <c r="AA273" s="2" t="s">
        <v>747</v>
      </c>
      <c r="AB273" s="2">
        <v>19</v>
      </c>
      <c r="AC273" s="9" t="s">
        <v>1036</v>
      </c>
      <c r="AD273" s="9"/>
      <c r="AE273" s="9">
        <v>172</v>
      </c>
      <c r="AF273" s="9"/>
      <c r="AG273" s="9" t="s">
        <v>1036</v>
      </c>
      <c r="AH273" s="9" t="s">
        <v>1032</v>
      </c>
      <c r="AI273" s="2">
        <v>0.28000000000000003</v>
      </c>
    </row>
    <row r="274" spans="1:35" ht="15.75" x14ac:dyDescent="0.25">
      <c r="A274" s="7">
        <v>45047</v>
      </c>
      <c r="B274" t="s">
        <v>778</v>
      </c>
      <c r="C274" t="s">
        <v>779</v>
      </c>
      <c r="D274" t="s">
        <v>12</v>
      </c>
      <c r="E274" t="s">
        <v>14</v>
      </c>
      <c r="F274">
        <v>2</v>
      </c>
      <c r="G274">
        <v>320</v>
      </c>
      <c r="H274">
        <v>561.29999999999995</v>
      </c>
      <c r="I274">
        <v>57</v>
      </c>
      <c r="L274">
        <f t="shared" si="59"/>
        <v>0</v>
      </c>
      <c r="M274">
        <f t="shared" si="67"/>
        <v>0</v>
      </c>
      <c r="N274">
        <f t="shared" si="60"/>
        <v>0</v>
      </c>
      <c r="O274">
        <f t="shared" si="61"/>
        <v>0</v>
      </c>
      <c r="P274">
        <f t="shared" si="62"/>
        <v>0</v>
      </c>
      <c r="Q274">
        <f t="shared" si="63"/>
        <v>0</v>
      </c>
      <c r="R274">
        <f t="shared" si="70"/>
        <v>0</v>
      </c>
      <c r="S274">
        <f t="shared" si="65"/>
        <v>0</v>
      </c>
      <c r="T274">
        <f t="shared" si="64"/>
        <v>0</v>
      </c>
      <c r="U274">
        <f t="shared" si="68"/>
        <v>0</v>
      </c>
      <c r="V274">
        <f t="shared" si="66"/>
        <v>0</v>
      </c>
      <c r="W274">
        <f t="shared" si="69"/>
        <v>0</v>
      </c>
      <c r="X274" t="s">
        <v>780</v>
      </c>
      <c r="Y274" t="s">
        <v>781</v>
      </c>
      <c r="Z274" s="3" t="s">
        <v>782</v>
      </c>
      <c r="AA274" t="s">
        <v>783</v>
      </c>
      <c r="AB274">
        <f>(24-14)+7</f>
        <v>17</v>
      </c>
      <c r="AC274" s="8" t="s">
        <v>1071</v>
      </c>
      <c r="AD274" s="8" t="s">
        <v>1054</v>
      </c>
      <c r="AE274" s="8">
        <v>175</v>
      </c>
      <c r="AF274" s="8">
        <v>4.5</v>
      </c>
      <c r="AG274" s="8" t="s">
        <v>1036</v>
      </c>
      <c r="AH274" s="8" t="s">
        <v>1032</v>
      </c>
      <c r="AI274">
        <v>0.21</v>
      </c>
    </row>
    <row r="275" spans="1:35" x14ac:dyDescent="0.25">
      <c r="C275" t="s">
        <v>784</v>
      </c>
      <c r="D275" t="s">
        <v>12</v>
      </c>
      <c r="E275" t="s">
        <v>14</v>
      </c>
      <c r="F275">
        <v>2</v>
      </c>
      <c r="G275">
        <v>305.5</v>
      </c>
      <c r="H275">
        <v>535.29999999999995</v>
      </c>
      <c r="I275">
        <v>57.1</v>
      </c>
      <c r="L275">
        <f t="shared" si="59"/>
        <v>0</v>
      </c>
      <c r="M275">
        <f t="shared" si="67"/>
        <v>0</v>
      </c>
      <c r="N275">
        <f t="shared" si="60"/>
        <v>0</v>
      </c>
      <c r="O275">
        <f t="shared" si="61"/>
        <v>0</v>
      </c>
      <c r="P275">
        <f t="shared" si="62"/>
        <v>0</v>
      </c>
      <c r="Q275">
        <f t="shared" si="63"/>
        <v>0</v>
      </c>
      <c r="R275">
        <f t="shared" si="70"/>
        <v>0</v>
      </c>
      <c r="S275">
        <f t="shared" si="65"/>
        <v>0</v>
      </c>
      <c r="T275">
        <f t="shared" si="64"/>
        <v>0</v>
      </c>
      <c r="U275">
        <f t="shared" si="68"/>
        <v>0</v>
      </c>
      <c r="V275">
        <f t="shared" si="66"/>
        <v>0</v>
      </c>
      <c r="W275">
        <f t="shared" si="69"/>
        <v>0</v>
      </c>
      <c r="X275" t="s">
        <v>785</v>
      </c>
      <c r="Y275" t="s">
        <v>781</v>
      </c>
      <c r="Z275" s="3" t="s">
        <v>786</v>
      </c>
      <c r="AA275" t="s">
        <v>787</v>
      </c>
      <c r="AB275">
        <v>17</v>
      </c>
      <c r="AC275" s="8" t="s">
        <v>1071</v>
      </c>
      <c r="AD275" s="8" t="s">
        <v>1054</v>
      </c>
      <c r="AE275" s="8">
        <v>175</v>
      </c>
      <c r="AF275" s="8">
        <v>4.5</v>
      </c>
      <c r="AG275" s="8" t="s">
        <v>1036</v>
      </c>
      <c r="AH275" s="8" t="s">
        <v>1032</v>
      </c>
      <c r="AI275">
        <v>0.21</v>
      </c>
    </row>
    <row r="276" spans="1:35" x14ac:dyDescent="0.25">
      <c r="C276" t="s">
        <v>788</v>
      </c>
      <c r="D276" t="s">
        <v>12</v>
      </c>
      <c r="E276" t="s">
        <v>14</v>
      </c>
      <c r="F276">
        <v>4</v>
      </c>
      <c r="G276">
        <v>332</v>
      </c>
      <c r="H276">
        <v>586.9</v>
      </c>
      <c r="I276">
        <v>56.6</v>
      </c>
      <c r="K276" t="s">
        <v>549</v>
      </c>
      <c r="L276">
        <f t="shared" si="59"/>
        <v>1</v>
      </c>
      <c r="M276">
        <f t="shared" si="67"/>
        <v>0</v>
      </c>
      <c r="N276">
        <f t="shared" si="60"/>
        <v>0</v>
      </c>
      <c r="O276">
        <f t="shared" si="61"/>
        <v>0</v>
      </c>
      <c r="P276">
        <f t="shared" si="62"/>
        <v>0</v>
      </c>
      <c r="Q276">
        <f t="shared" si="63"/>
        <v>0</v>
      </c>
      <c r="R276">
        <f t="shared" si="70"/>
        <v>0</v>
      </c>
      <c r="S276">
        <v>1</v>
      </c>
      <c r="T276">
        <f t="shared" si="64"/>
        <v>0</v>
      </c>
      <c r="U276">
        <f t="shared" si="68"/>
        <v>0</v>
      </c>
      <c r="V276">
        <f t="shared" si="66"/>
        <v>0</v>
      </c>
      <c r="W276">
        <f t="shared" si="69"/>
        <v>0</v>
      </c>
      <c r="X276" t="s">
        <v>789</v>
      </c>
      <c r="Y276" t="s">
        <v>790</v>
      </c>
      <c r="Z276" s="3" t="s">
        <v>791</v>
      </c>
      <c r="AA276" t="s">
        <v>787</v>
      </c>
      <c r="AB276">
        <v>17</v>
      </c>
      <c r="AC276" s="8" t="s">
        <v>1071</v>
      </c>
      <c r="AD276" s="8" t="s">
        <v>1054</v>
      </c>
      <c r="AE276" s="8">
        <v>175</v>
      </c>
      <c r="AF276" s="8">
        <v>4.5</v>
      </c>
      <c r="AG276" s="8" t="s">
        <v>1036</v>
      </c>
      <c r="AH276" s="8" t="s">
        <v>1032</v>
      </c>
      <c r="AI276">
        <v>0.21</v>
      </c>
    </row>
    <row r="277" spans="1:35" x14ac:dyDescent="0.25">
      <c r="A277" s="2"/>
      <c r="B277" s="2"/>
      <c r="C277" s="2" t="s">
        <v>792</v>
      </c>
      <c r="D277" s="2" t="s">
        <v>12</v>
      </c>
      <c r="E277" s="2" t="s">
        <v>14</v>
      </c>
      <c r="F277" s="2">
        <v>2</v>
      </c>
      <c r="G277" s="2">
        <v>362</v>
      </c>
      <c r="H277" s="2">
        <v>635.5</v>
      </c>
      <c r="I277" s="2">
        <v>57</v>
      </c>
      <c r="J277" s="2"/>
      <c r="K277" s="2" t="s">
        <v>41</v>
      </c>
      <c r="L277" s="2">
        <f t="shared" ref="L277:L340" si="71">M277+N277+O277+P277+Q277+R277+S277+T277+U277+V277+W277</f>
        <v>1</v>
      </c>
      <c r="M277" s="2">
        <f t="shared" si="67"/>
        <v>0</v>
      </c>
      <c r="N277" s="2">
        <f t="shared" si="60"/>
        <v>0</v>
      </c>
      <c r="O277" s="2">
        <f t="shared" si="61"/>
        <v>0</v>
      </c>
      <c r="P277" s="2">
        <f t="shared" si="62"/>
        <v>0</v>
      </c>
      <c r="Q277" s="2">
        <f t="shared" si="63"/>
        <v>1</v>
      </c>
      <c r="R277" s="2">
        <f t="shared" si="70"/>
        <v>0</v>
      </c>
      <c r="S277" s="2">
        <f t="shared" si="65"/>
        <v>0</v>
      </c>
      <c r="T277" s="2">
        <f t="shared" si="64"/>
        <v>0</v>
      </c>
      <c r="U277" s="2">
        <f t="shared" si="68"/>
        <v>0</v>
      </c>
      <c r="V277" s="2">
        <f t="shared" si="66"/>
        <v>0</v>
      </c>
      <c r="W277" s="2">
        <f t="shared" si="69"/>
        <v>0</v>
      </c>
      <c r="X277" s="2" t="s">
        <v>793</v>
      </c>
      <c r="Y277" s="2" t="s">
        <v>794</v>
      </c>
      <c r="Z277" s="6" t="s">
        <v>795</v>
      </c>
      <c r="AA277" s="2" t="s">
        <v>783</v>
      </c>
      <c r="AB277" s="2">
        <v>17</v>
      </c>
      <c r="AC277" s="9" t="s">
        <v>1071</v>
      </c>
      <c r="AD277" s="9" t="s">
        <v>1054</v>
      </c>
      <c r="AE277" s="9">
        <v>175</v>
      </c>
      <c r="AF277" s="9">
        <v>4.5</v>
      </c>
      <c r="AG277" s="9" t="s">
        <v>1036</v>
      </c>
      <c r="AH277" s="9" t="s">
        <v>1032</v>
      </c>
      <c r="AI277" s="2">
        <v>0.21</v>
      </c>
    </row>
    <row r="278" spans="1:35" ht="15.75" x14ac:dyDescent="0.25">
      <c r="A278" s="7">
        <v>45229</v>
      </c>
      <c r="B278" t="s">
        <v>796</v>
      </c>
      <c r="C278" t="s">
        <v>797</v>
      </c>
      <c r="D278" t="s">
        <v>12</v>
      </c>
      <c r="E278" t="s">
        <v>14</v>
      </c>
      <c r="F278">
        <v>2</v>
      </c>
      <c r="G278">
        <v>352</v>
      </c>
      <c r="H278">
        <v>620.70000000000005</v>
      </c>
      <c r="I278">
        <v>56.7</v>
      </c>
      <c r="L278">
        <f t="shared" si="71"/>
        <v>0</v>
      </c>
      <c r="M278">
        <f t="shared" si="67"/>
        <v>0</v>
      </c>
      <c r="N278">
        <f t="shared" ref="N278:N341" si="72">IF(K278="cirrhosis", 1, 0)</f>
        <v>0</v>
      </c>
      <c r="O278">
        <f t="shared" ref="O278:O341" si="73">IF(K278="bruised", 1, 0)</f>
        <v>0</v>
      </c>
      <c r="P278">
        <f t="shared" ref="P278:P341" si="74">IF(K278="inoculation", 1, 0)</f>
        <v>0</v>
      </c>
      <c r="Q278">
        <f t="shared" ref="Q278:Q341" si="75">IF(K278="Pleurisy", 1, 0)</f>
        <v>0</v>
      </c>
      <c r="R278">
        <f t="shared" si="70"/>
        <v>0</v>
      </c>
      <c r="S278">
        <f t="shared" si="65"/>
        <v>0</v>
      </c>
      <c r="T278">
        <f t="shared" ref="T278:T341" si="76">IF(J278="Condemned", 1, 0)</f>
        <v>0</v>
      </c>
      <c r="U278">
        <f t="shared" si="68"/>
        <v>0</v>
      </c>
      <c r="V278">
        <f t="shared" si="66"/>
        <v>0</v>
      </c>
      <c r="W278">
        <f t="shared" si="69"/>
        <v>0</v>
      </c>
      <c r="X278" t="s">
        <v>798</v>
      </c>
      <c r="Y278" t="s">
        <v>799</v>
      </c>
      <c r="Z278" s="3" t="s">
        <v>256</v>
      </c>
      <c r="AA278" t="s">
        <v>800</v>
      </c>
      <c r="AB278">
        <f>(24-12.25)+9.25</f>
        <v>21</v>
      </c>
      <c r="AC278" s="8" t="s">
        <v>1071</v>
      </c>
      <c r="AD278" s="8" t="s">
        <v>1055</v>
      </c>
      <c r="AE278" s="8">
        <v>175</v>
      </c>
      <c r="AF278" s="8">
        <v>5</v>
      </c>
      <c r="AG278" s="8" t="s">
        <v>1035</v>
      </c>
      <c r="AH278" s="8" t="s">
        <v>1032</v>
      </c>
    </row>
    <row r="279" spans="1:35" x14ac:dyDescent="0.25">
      <c r="C279" t="s">
        <v>801</v>
      </c>
      <c r="D279" t="s">
        <v>12</v>
      </c>
      <c r="E279" t="s">
        <v>14</v>
      </c>
      <c r="F279">
        <v>1</v>
      </c>
      <c r="G279">
        <v>348</v>
      </c>
      <c r="H279">
        <v>632</v>
      </c>
      <c r="I279">
        <v>55.1</v>
      </c>
      <c r="L279">
        <f t="shared" si="71"/>
        <v>0</v>
      </c>
      <c r="M279">
        <f t="shared" si="67"/>
        <v>0</v>
      </c>
      <c r="N279">
        <f t="shared" si="72"/>
        <v>0</v>
      </c>
      <c r="O279">
        <f t="shared" si="73"/>
        <v>0</v>
      </c>
      <c r="P279">
        <f t="shared" si="74"/>
        <v>0</v>
      </c>
      <c r="Q279">
        <f t="shared" si="75"/>
        <v>0</v>
      </c>
      <c r="R279">
        <f t="shared" si="70"/>
        <v>0</v>
      </c>
      <c r="S279">
        <f t="shared" si="65"/>
        <v>0</v>
      </c>
      <c r="T279">
        <f t="shared" si="76"/>
        <v>0</v>
      </c>
      <c r="U279">
        <f t="shared" si="68"/>
        <v>0</v>
      </c>
      <c r="V279">
        <f t="shared" si="66"/>
        <v>0</v>
      </c>
      <c r="W279">
        <f t="shared" si="69"/>
        <v>0</v>
      </c>
      <c r="X279" t="s">
        <v>802</v>
      </c>
      <c r="Y279" t="s">
        <v>803</v>
      </c>
      <c r="Z279" s="3" t="s">
        <v>804</v>
      </c>
      <c r="AA279" t="s">
        <v>805</v>
      </c>
      <c r="AB279">
        <v>21</v>
      </c>
      <c r="AC279" s="8" t="s">
        <v>1071</v>
      </c>
      <c r="AD279" s="8" t="s">
        <v>1055</v>
      </c>
      <c r="AE279" s="8">
        <v>175</v>
      </c>
      <c r="AF279" s="8">
        <v>5</v>
      </c>
      <c r="AG279" s="8" t="s">
        <v>1035</v>
      </c>
      <c r="AH279" s="8" t="s">
        <v>1032</v>
      </c>
    </row>
    <row r="280" spans="1:35" x14ac:dyDescent="0.25">
      <c r="C280" t="s">
        <v>806</v>
      </c>
      <c r="D280" t="s">
        <v>12</v>
      </c>
      <c r="E280" t="s">
        <v>14</v>
      </c>
      <c r="F280">
        <v>2</v>
      </c>
      <c r="G280">
        <v>352</v>
      </c>
      <c r="H280">
        <v>605.70000000000005</v>
      </c>
      <c r="I280">
        <v>58.1</v>
      </c>
      <c r="L280">
        <f t="shared" si="71"/>
        <v>0</v>
      </c>
      <c r="M280">
        <f t="shared" si="67"/>
        <v>0</v>
      </c>
      <c r="N280">
        <f t="shared" si="72"/>
        <v>0</v>
      </c>
      <c r="O280">
        <f t="shared" si="73"/>
        <v>0</v>
      </c>
      <c r="P280">
        <f t="shared" si="74"/>
        <v>0</v>
      </c>
      <c r="Q280">
        <f t="shared" si="75"/>
        <v>0</v>
      </c>
      <c r="R280">
        <f t="shared" si="70"/>
        <v>0</v>
      </c>
      <c r="S280">
        <f t="shared" si="65"/>
        <v>0</v>
      </c>
      <c r="T280">
        <f t="shared" si="76"/>
        <v>0</v>
      </c>
      <c r="U280">
        <f t="shared" si="68"/>
        <v>0</v>
      </c>
      <c r="V280">
        <f t="shared" si="66"/>
        <v>0</v>
      </c>
      <c r="W280">
        <f t="shared" si="69"/>
        <v>0</v>
      </c>
      <c r="X280" t="s">
        <v>807</v>
      </c>
      <c r="Y280" t="s">
        <v>808</v>
      </c>
      <c r="Z280" s="3" t="s">
        <v>809</v>
      </c>
      <c r="AA280" t="s">
        <v>810</v>
      </c>
      <c r="AB280">
        <v>21</v>
      </c>
      <c r="AC280" s="8" t="s">
        <v>1071</v>
      </c>
      <c r="AD280" s="8" t="s">
        <v>1055</v>
      </c>
      <c r="AE280" s="8">
        <v>175</v>
      </c>
      <c r="AF280" s="8">
        <v>5</v>
      </c>
      <c r="AG280" s="8" t="s">
        <v>1035</v>
      </c>
      <c r="AH280" s="8" t="s">
        <v>1032</v>
      </c>
    </row>
    <row r="281" spans="1:35" x14ac:dyDescent="0.25">
      <c r="C281" t="s">
        <v>811</v>
      </c>
      <c r="D281" t="s">
        <v>12</v>
      </c>
      <c r="E281" t="s">
        <v>14</v>
      </c>
      <c r="F281">
        <v>1</v>
      </c>
      <c r="G281">
        <v>303.5</v>
      </c>
      <c r="H281">
        <v>575.9</v>
      </c>
      <c r="I281">
        <v>52.7</v>
      </c>
      <c r="K281" t="s">
        <v>549</v>
      </c>
      <c r="L281">
        <f t="shared" si="71"/>
        <v>1</v>
      </c>
      <c r="M281">
        <f t="shared" si="67"/>
        <v>0</v>
      </c>
      <c r="N281">
        <f t="shared" si="72"/>
        <v>0</v>
      </c>
      <c r="O281">
        <f t="shared" si="73"/>
        <v>0</v>
      </c>
      <c r="P281">
        <f t="shared" si="74"/>
        <v>0</v>
      </c>
      <c r="Q281">
        <f t="shared" si="75"/>
        <v>0</v>
      </c>
      <c r="R281">
        <f t="shared" si="70"/>
        <v>0</v>
      </c>
      <c r="S281">
        <v>1</v>
      </c>
      <c r="T281">
        <f t="shared" si="76"/>
        <v>0</v>
      </c>
      <c r="U281">
        <f t="shared" si="68"/>
        <v>0</v>
      </c>
      <c r="V281">
        <f t="shared" si="66"/>
        <v>0</v>
      </c>
      <c r="W281">
        <f t="shared" si="69"/>
        <v>0</v>
      </c>
      <c r="X281" t="s">
        <v>812</v>
      </c>
      <c r="Y281" t="s">
        <v>813</v>
      </c>
      <c r="Z281" s="3" t="s">
        <v>228</v>
      </c>
      <c r="AA281" t="s">
        <v>814</v>
      </c>
      <c r="AB281">
        <v>21</v>
      </c>
      <c r="AC281" s="8" t="s">
        <v>1071</v>
      </c>
      <c r="AD281" s="8" t="s">
        <v>1055</v>
      </c>
      <c r="AE281" s="8">
        <v>175</v>
      </c>
      <c r="AF281" s="8">
        <v>5</v>
      </c>
      <c r="AG281" s="8" t="s">
        <v>1035</v>
      </c>
      <c r="AH281" s="8" t="s">
        <v>1032</v>
      </c>
    </row>
    <row r="282" spans="1:35" x14ac:dyDescent="0.25">
      <c r="C282" t="s">
        <v>815</v>
      </c>
      <c r="D282" t="s">
        <v>12</v>
      </c>
      <c r="E282" t="s">
        <v>14</v>
      </c>
      <c r="F282">
        <v>2</v>
      </c>
      <c r="G282">
        <v>337</v>
      </c>
      <c r="H282">
        <v>593.20000000000005</v>
      </c>
      <c r="I282">
        <v>56.8</v>
      </c>
      <c r="L282">
        <f t="shared" si="71"/>
        <v>0</v>
      </c>
      <c r="M282">
        <f t="shared" si="67"/>
        <v>0</v>
      </c>
      <c r="N282">
        <f t="shared" si="72"/>
        <v>0</v>
      </c>
      <c r="O282">
        <f t="shared" si="73"/>
        <v>0</v>
      </c>
      <c r="P282">
        <f t="shared" si="74"/>
        <v>0</v>
      </c>
      <c r="Q282">
        <f t="shared" si="75"/>
        <v>0</v>
      </c>
      <c r="R282">
        <f t="shared" si="70"/>
        <v>0</v>
      </c>
      <c r="S282">
        <f t="shared" si="65"/>
        <v>0</v>
      </c>
      <c r="T282">
        <f t="shared" si="76"/>
        <v>0</v>
      </c>
      <c r="U282">
        <f t="shared" si="68"/>
        <v>0</v>
      </c>
      <c r="V282">
        <f t="shared" si="66"/>
        <v>0</v>
      </c>
      <c r="W282">
        <f t="shared" si="69"/>
        <v>0</v>
      </c>
      <c r="X282" t="s">
        <v>816</v>
      </c>
      <c r="Y282" t="s">
        <v>817</v>
      </c>
      <c r="Z282" s="3" t="s">
        <v>818</v>
      </c>
      <c r="AA282" t="s">
        <v>805</v>
      </c>
      <c r="AB282">
        <v>21</v>
      </c>
      <c r="AC282" s="8" t="s">
        <v>1071</v>
      </c>
      <c r="AD282" s="8" t="s">
        <v>1055</v>
      </c>
      <c r="AE282" s="8">
        <v>175</v>
      </c>
      <c r="AF282" s="8">
        <v>5</v>
      </c>
      <c r="AG282" s="8" t="s">
        <v>1035</v>
      </c>
      <c r="AH282" s="8" t="s">
        <v>1032</v>
      </c>
    </row>
    <row r="283" spans="1:35" x14ac:dyDescent="0.25">
      <c r="C283" t="s">
        <v>819</v>
      </c>
      <c r="D283" t="s">
        <v>12</v>
      </c>
      <c r="E283" t="s">
        <v>14</v>
      </c>
      <c r="F283">
        <v>2</v>
      </c>
      <c r="G283">
        <v>303</v>
      </c>
      <c r="H283">
        <v>530</v>
      </c>
      <c r="I283">
        <v>57.2</v>
      </c>
      <c r="L283">
        <f t="shared" si="71"/>
        <v>0</v>
      </c>
      <c r="M283">
        <f t="shared" si="67"/>
        <v>0</v>
      </c>
      <c r="N283">
        <f t="shared" si="72"/>
        <v>0</v>
      </c>
      <c r="O283">
        <f t="shared" si="73"/>
        <v>0</v>
      </c>
      <c r="P283">
        <f t="shared" si="74"/>
        <v>0</v>
      </c>
      <c r="Q283">
        <f t="shared" si="75"/>
        <v>0</v>
      </c>
      <c r="R283">
        <f t="shared" si="70"/>
        <v>0</v>
      </c>
      <c r="S283">
        <f t="shared" si="65"/>
        <v>0</v>
      </c>
      <c r="T283">
        <f t="shared" si="76"/>
        <v>0</v>
      </c>
      <c r="U283">
        <f t="shared" si="68"/>
        <v>0</v>
      </c>
      <c r="V283">
        <f t="shared" si="66"/>
        <v>0</v>
      </c>
      <c r="W283">
        <f t="shared" si="69"/>
        <v>0</v>
      </c>
      <c r="X283" t="s">
        <v>820</v>
      </c>
      <c r="Y283" t="s">
        <v>234</v>
      </c>
      <c r="Z283" s="3" t="s">
        <v>821</v>
      </c>
      <c r="AA283" t="s">
        <v>800</v>
      </c>
      <c r="AB283">
        <v>21</v>
      </c>
      <c r="AC283" s="8" t="s">
        <v>1071</v>
      </c>
      <c r="AD283" s="8" t="s">
        <v>1055</v>
      </c>
      <c r="AE283" s="8">
        <v>175</v>
      </c>
      <c r="AF283" s="8">
        <v>5</v>
      </c>
      <c r="AG283" s="8" t="s">
        <v>1035</v>
      </c>
      <c r="AH283" s="8" t="s">
        <v>1032</v>
      </c>
    </row>
    <row r="284" spans="1:35" x14ac:dyDescent="0.25">
      <c r="C284" t="s">
        <v>822</v>
      </c>
      <c r="D284" t="s">
        <v>12</v>
      </c>
      <c r="E284" t="s">
        <v>14</v>
      </c>
      <c r="F284">
        <v>2</v>
      </c>
      <c r="G284">
        <v>321.5</v>
      </c>
      <c r="H284">
        <v>561.9</v>
      </c>
      <c r="I284">
        <v>57.2</v>
      </c>
      <c r="K284" t="s">
        <v>86</v>
      </c>
      <c r="L284">
        <f t="shared" si="71"/>
        <v>1</v>
      </c>
      <c r="M284">
        <f t="shared" si="67"/>
        <v>0</v>
      </c>
      <c r="N284">
        <f t="shared" si="72"/>
        <v>0</v>
      </c>
      <c r="O284">
        <f t="shared" si="73"/>
        <v>1</v>
      </c>
      <c r="P284">
        <f t="shared" si="74"/>
        <v>0</v>
      </c>
      <c r="Q284">
        <f t="shared" si="75"/>
        <v>0</v>
      </c>
      <c r="R284">
        <f t="shared" si="70"/>
        <v>0</v>
      </c>
      <c r="S284">
        <f t="shared" si="65"/>
        <v>0</v>
      </c>
      <c r="T284">
        <f t="shared" si="76"/>
        <v>0</v>
      </c>
      <c r="U284">
        <f t="shared" si="68"/>
        <v>0</v>
      </c>
      <c r="V284">
        <f t="shared" si="66"/>
        <v>0</v>
      </c>
      <c r="W284">
        <f t="shared" si="69"/>
        <v>0</v>
      </c>
      <c r="X284" t="s">
        <v>823</v>
      </c>
      <c r="Y284" t="s">
        <v>239</v>
      </c>
      <c r="Z284" s="3" t="s">
        <v>824</v>
      </c>
      <c r="AA284" t="s">
        <v>800</v>
      </c>
      <c r="AB284">
        <v>21</v>
      </c>
      <c r="AC284" s="8" t="s">
        <v>1071</v>
      </c>
      <c r="AD284" s="8" t="s">
        <v>1055</v>
      </c>
      <c r="AE284" s="8">
        <v>175</v>
      </c>
      <c r="AF284" s="8">
        <v>5</v>
      </c>
      <c r="AG284" s="8" t="s">
        <v>1035</v>
      </c>
      <c r="AH284" s="8" t="s">
        <v>1032</v>
      </c>
    </row>
    <row r="285" spans="1:35" x14ac:dyDescent="0.25">
      <c r="C285" t="s">
        <v>825</v>
      </c>
      <c r="D285" t="s">
        <v>12</v>
      </c>
      <c r="E285" t="s">
        <v>14</v>
      </c>
      <c r="F285">
        <v>2</v>
      </c>
      <c r="G285">
        <v>303.5</v>
      </c>
      <c r="H285">
        <v>550.5</v>
      </c>
      <c r="I285">
        <v>55.1</v>
      </c>
      <c r="L285">
        <f t="shared" si="71"/>
        <v>0</v>
      </c>
      <c r="M285">
        <f t="shared" si="67"/>
        <v>0</v>
      </c>
      <c r="N285">
        <f t="shared" si="72"/>
        <v>0</v>
      </c>
      <c r="O285">
        <f t="shared" si="73"/>
        <v>0</v>
      </c>
      <c r="P285">
        <f t="shared" si="74"/>
        <v>0</v>
      </c>
      <c r="Q285">
        <f t="shared" si="75"/>
        <v>0</v>
      </c>
      <c r="R285">
        <f t="shared" si="70"/>
        <v>0</v>
      </c>
      <c r="S285">
        <f t="shared" si="65"/>
        <v>0</v>
      </c>
      <c r="T285">
        <f t="shared" si="76"/>
        <v>0</v>
      </c>
      <c r="U285">
        <f t="shared" si="68"/>
        <v>0</v>
      </c>
      <c r="V285">
        <f t="shared" si="66"/>
        <v>0</v>
      </c>
      <c r="W285">
        <f t="shared" si="69"/>
        <v>0</v>
      </c>
      <c r="X285" t="s">
        <v>826</v>
      </c>
      <c r="Y285" t="s">
        <v>242</v>
      </c>
      <c r="Z285" s="3" t="s">
        <v>827</v>
      </c>
      <c r="AA285" t="s">
        <v>828</v>
      </c>
      <c r="AB285">
        <v>21</v>
      </c>
      <c r="AC285" s="8" t="s">
        <v>1071</v>
      </c>
      <c r="AD285" s="8" t="s">
        <v>1055</v>
      </c>
      <c r="AE285" s="8">
        <v>175</v>
      </c>
      <c r="AF285" s="8">
        <v>5</v>
      </c>
      <c r="AG285" s="8" t="s">
        <v>1035</v>
      </c>
      <c r="AH285" s="8" t="s">
        <v>1032</v>
      </c>
    </row>
    <row r="286" spans="1:35" x14ac:dyDescent="0.25">
      <c r="C286" t="s">
        <v>829</v>
      </c>
      <c r="D286" t="s">
        <v>12</v>
      </c>
      <c r="E286" t="s">
        <v>14</v>
      </c>
      <c r="F286">
        <v>2</v>
      </c>
      <c r="G286">
        <v>296</v>
      </c>
      <c r="H286">
        <v>543.1</v>
      </c>
      <c r="I286">
        <v>54.5</v>
      </c>
      <c r="L286">
        <f t="shared" si="71"/>
        <v>0</v>
      </c>
      <c r="M286">
        <f t="shared" si="67"/>
        <v>0</v>
      </c>
      <c r="N286">
        <f t="shared" si="72"/>
        <v>0</v>
      </c>
      <c r="O286">
        <f t="shared" si="73"/>
        <v>0</v>
      </c>
      <c r="P286">
        <f t="shared" si="74"/>
        <v>0</v>
      </c>
      <c r="Q286">
        <f t="shared" si="75"/>
        <v>0</v>
      </c>
      <c r="R286">
        <f t="shared" si="70"/>
        <v>0</v>
      </c>
      <c r="S286">
        <f t="shared" si="65"/>
        <v>0</v>
      </c>
      <c r="T286">
        <f t="shared" si="76"/>
        <v>0</v>
      </c>
      <c r="U286">
        <f t="shared" si="68"/>
        <v>0</v>
      </c>
      <c r="V286">
        <f t="shared" si="66"/>
        <v>0</v>
      </c>
      <c r="W286">
        <f t="shared" si="69"/>
        <v>0</v>
      </c>
      <c r="X286" t="s">
        <v>830</v>
      </c>
      <c r="Y286" t="s">
        <v>246</v>
      </c>
      <c r="Z286" s="3" t="s">
        <v>827</v>
      </c>
      <c r="AA286" t="s">
        <v>805</v>
      </c>
      <c r="AB286">
        <v>21</v>
      </c>
      <c r="AC286" s="8" t="s">
        <v>1071</v>
      </c>
      <c r="AD286" s="8" t="s">
        <v>1055</v>
      </c>
      <c r="AE286" s="8">
        <v>175</v>
      </c>
      <c r="AF286" s="8">
        <v>5</v>
      </c>
      <c r="AG286" s="8" t="s">
        <v>1035</v>
      </c>
      <c r="AH286" s="8" t="s">
        <v>1032</v>
      </c>
    </row>
    <row r="287" spans="1:35" x14ac:dyDescent="0.25">
      <c r="C287" t="s">
        <v>831</v>
      </c>
      <c r="D287" t="s">
        <v>12</v>
      </c>
      <c r="E287" t="s">
        <v>14</v>
      </c>
      <c r="F287">
        <v>2</v>
      </c>
      <c r="G287">
        <v>339</v>
      </c>
      <c r="H287">
        <v>605.4</v>
      </c>
      <c r="I287">
        <v>56</v>
      </c>
      <c r="L287">
        <f t="shared" si="71"/>
        <v>0</v>
      </c>
      <c r="M287">
        <f t="shared" si="67"/>
        <v>0</v>
      </c>
      <c r="N287">
        <f t="shared" si="72"/>
        <v>0</v>
      </c>
      <c r="O287">
        <f t="shared" si="73"/>
        <v>0</v>
      </c>
      <c r="P287">
        <f t="shared" si="74"/>
        <v>0</v>
      </c>
      <c r="Q287">
        <f t="shared" si="75"/>
        <v>0</v>
      </c>
      <c r="R287">
        <f t="shared" si="70"/>
        <v>0</v>
      </c>
      <c r="S287">
        <f t="shared" si="65"/>
        <v>0</v>
      </c>
      <c r="T287">
        <f t="shared" si="76"/>
        <v>0</v>
      </c>
      <c r="U287">
        <f t="shared" si="68"/>
        <v>0</v>
      </c>
      <c r="V287">
        <f t="shared" si="66"/>
        <v>0</v>
      </c>
      <c r="W287">
        <f t="shared" si="69"/>
        <v>0</v>
      </c>
      <c r="X287" t="s">
        <v>832</v>
      </c>
      <c r="Y287" t="s">
        <v>251</v>
      </c>
      <c r="Z287" s="3" t="s">
        <v>833</v>
      </c>
      <c r="AA287" t="s">
        <v>805</v>
      </c>
      <c r="AB287">
        <v>21</v>
      </c>
      <c r="AC287" s="8" t="s">
        <v>1071</v>
      </c>
      <c r="AD287" s="8" t="s">
        <v>1055</v>
      </c>
      <c r="AE287" s="8">
        <v>175</v>
      </c>
      <c r="AF287" s="8">
        <v>5</v>
      </c>
      <c r="AG287" s="8" t="s">
        <v>1035</v>
      </c>
      <c r="AH287" s="8" t="s">
        <v>1032</v>
      </c>
    </row>
    <row r="288" spans="1:35" x14ac:dyDescent="0.25">
      <c r="C288" t="s">
        <v>834</v>
      </c>
      <c r="D288" t="s">
        <v>12</v>
      </c>
      <c r="E288" t="s">
        <v>14</v>
      </c>
      <c r="F288">
        <v>2</v>
      </c>
      <c r="G288">
        <v>312</v>
      </c>
      <c r="H288">
        <v>572.70000000000005</v>
      </c>
      <c r="I288">
        <v>54.5</v>
      </c>
      <c r="L288">
        <f t="shared" si="71"/>
        <v>0</v>
      </c>
      <c r="M288">
        <f t="shared" si="67"/>
        <v>0</v>
      </c>
      <c r="N288">
        <f t="shared" si="72"/>
        <v>0</v>
      </c>
      <c r="O288">
        <f t="shared" si="73"/>
        <v>0</v>
      </c>
      <c r="P288">
        <f t="shared" si="74"/>
        <v>0</v>
      </c>
      <c r="Q288">
        <f t="shared" si="75"/>
        <v>0</v>
      </c>
      <c r="R288">
        <f t="shared" si="70"/>
        <v>0</v>
      </c>
      <c r="S288">
        <f t="shared" si="65"/>
        <v>0</v>
      </c>
      <c r="T288">
        <f t="shared" si="76"/>
        <v>0</v>
      </c>
      <c r="U288">
        <f t="shared" si="68"/>
        <v>0</v>
      </c>
      <c r="V288">
        <f t="shared" si="66"/>
        <v>0</v>
      </c>
      <c r="W288">
        <f t="shared" si="69"/>
        <v>0</v>
      </c>
      <c r="X288" t="s">
        <v>835</v>
      </c>
      <c r="Y288" t="s">
        <v>255</v>
      </c>
      <c r="Z288" s="3" t="s">
        <v>833</v>
      </c>
      <c r="AA288" t="s">
        <v>828</v>
      </c>
      <c r="AB288">
        <v>21</v>
      </c>
      <c r="AC288" s="8" t="s">
        <v>1071</v>
      </c>
      <c r="AD288" s="8" t="s">
        <v>1055</v>
      </c>
      <c r="AE288" s="8">
        <v>175</v>
      </c>
      <c r="AF288" s="8">
        <v>5</v>
      </c>
      <c r="AG288" s="8" t="s">
        <v>1035</v>
      </c>
      <c r="AH288" s="8" t="s">
        <v>1032</v>
      </c>
    </row>
    <row r="289" spans="3:34" x14ac:dyDescent="0.25">
      <c r="C289" t="s">
        <v>836</v>
      </c>
      <c r="D289" t="s">
        <v>12</v>
      </c>
      <c r="E289" t="s">
        <v>14</v>
      </c>
      <c r="F289">
        <v>2</v>
      </c>
      <c r="G289">
        <v>341.5</v>
      </c>
      <c r="H289">
        <v>596.6</v>
      </c>
      <c r="I289">
        <v>57.2</v>
      </c>
      <c r="L289">
        <f t="shared" si="71"/>
        <v>0</v>
      </c>
      <c r="M289">
        <f t="shared" si="67"/>
        <v>0</v>
      </c>
      <c r="N289">
        <f t="shared" si="72"/>
        <v>0</v>
      </c>
      <c r="O289">
        <f t="shared" si="73"/>
        <v>0</v>
      </c>
      <c r="P289">
        <f t="shared" si="74"/>
        <v>0</v>
      </c>
      <c r="Q289">
        <f t="shared" si="75"/>
        <v>0</v>
      </c>
      <c r="R289">
        <f t="shared" si="70"/>
        <v>0</v>
      </c>
      <c r="S289">
        <f t="shared" si="65"/>
        <v>0</v>
      </c>
      <c r="T289">
        <f t="shared" si="76"/>
        <v>0</v>
      </c>
      <c r="U289">
        <f t="shared" si="68"/>
        <v>0</v>
      </c>
      <c r="V289">
        <f t="shared" si="66"/>
        <v>0</v>
      </c>
      <c r="W289">
        <f t="shared" si="69"/>
        <v>0</v>
      </c>
      <c r="X289" t="s">
        <v>837</v>
      </c>
      <c r="Y289" t="s">
        <v>255</v>
      </c>
      <c r="Z289" s="3" t="s">
        <v>838</v>
      </c>
      <c r="AA289" t="s">
        <v>839</v>
      </c>
      <c r="AB289">
        <v>21</v>
      </c>
      <c r="AC289" s="8" t="s">
        <v>1071</v>
      </c>
      <c r="AD289" s="8" t="s">
        <v>1055</v>
      </c>
      <c r="AE289" s="8">
        <v>175</v>
      </c>
      <c r="AF289" s="8">
        <v>5</v>
      </c>
      <c r="AG289" s="8" t="s">
        <v>1035</v>
      </c>
      <c r="AH289" s="8" t="s">
        <v>1032</v>
      </c>
    </row>
    <row r="290" spans="3:34" x14ac:dyDescent="0.25">
      <c r="C290" t="s">
        <v>840</v>
      </c>
      <c r="D290" t="s">
        <v>12</v>
      </c>
      <c r="E290" t="s">
        <v>14</v>
      </c>
      <c r="F290">
        <v>2</v>
      </c>
      <c r="G290">
        <v>330</v>
      </c>
      <c r="H290">
        <v>602.70000000000005</v>
      </c>
      <c r="I290">
        <v>54.8</v>
      </c>
      <c r="K290" t="s">
        <v>86</v>
      </c>
      <c r="L290">
        <f t="shared" si="71"/>
        <v>1</v>
      </c>
      <c r="M290">
        <f t="shared" si="67"/>
        <v>0</v>
      </c>
      <c r="N290">
        <f t="shared" si="72"/>
        <v>0</v>
      </c>
      <c r="O290">
        <f t="shared" si="73"/>
        <v>1</v>
      </c>
      <c r="P290">
        <f t="shared" si="74"/>
        <v>0</v>
      </c>
      <c r="Q290">
        <f t="shared" si="75"/>
        <v>0</v>
      </c>
      <c r="R290">
        <f t="shared" si="70"/>
        <v>0</v>
      </c>
      <c r="S290">
        <f t="shared" si="65"/>
        <v>0</v>
      </c>
      <c r="T290">
        <f t="shared" si="76"/>
        <v>0</v>
      </c>
      <c r="U290">
        <f t="shared" si="68"/>
        <v>0</v>
      </c>
      <c r="V290">
        <f t="shared" si="66"/>
        <v>0</v>
      </c>
      <c r="W290">
        <f t="shared" si="69"/>
        <v>0</v>
      </c>
      <c r="X290" t="s">
        <v>841</v>
      </c>
      <c r="Y290" t="s">
        <v>259</v>
      </c>
      <c r="Z290" s="3" t="s">
        <v>842</v>
      </c>
      <c r="AA290" t="s">
        <v>810</v>
      </c>
      <c r="AB290">
        <v>21</v>
      </c>
      <c r="AC290" s="8" t="s">
        <v>1071</v>
      </c>
      <c r="AD290" s="8" t="s">
        <v>1055</v>
      </c>
      <c r="AE290" s="8">
        <v>175</v>
      </c>
      <c r="AF290" s="8">
        <v>5</v>
      </c>
      <c r="AG290" s="8" t="s">
        <v>1035</v>
      </c>
      <c r="AH290" s="8" t="s">
        <v>1032</v>
      </c>
    </row>
    <row r="291" spans="3:34" x14ac:dyDescent="0.25">
      <c r="C291" t="s">
        <v>843</v>
      </c>
      <c r="D291" t="s">
        <v>12</v>
      </c>
      <c r="E291" t="s">
        <v>14</v>
      </c>
      <c r="F291">
        <v>2</v>
      </c>
      <c r="G291">
        <v>338.5</v>
      </c>
      <c r="H291">
        <v>601.4</v>
      </c>
      <c r="I291">
        <v>56.3</v>
      </c>
      <c r="L291">
        <f t="shared" si="71"/>
        <v>0</v>
      </c>
      <c r="M291">
        <f t="shared" si="67"/>
        <v>0</v>
      </c>
      <c r="N291">
        <f t="shared" si="72"/>
        <v>0</v>
      </c>
      <c r="O291">
        <f t="shared" si="73"/>
        <v>0</v>
      </c>
      <c r="P291">
        <f t="shared" si="74"/>
        <v>0</v>
      </c>
      <c r="Q291">
        <f t="shared" si="75"/>
        <v>0</v>
      </c>
      <c r="R291">
        <f t="shared" si="70"/>
        <v>0</v>
      </c>
      <c r="S291">
        <f t="shared" si="65"/>
        <v>0</v>
      </c>
      <c r="T291">
        <f t="shared" si="76"/>
        <v>0</v>
      </c>
      <c r="U291">
        <f t="shared" si="68"/>
        <v>0</v>
      </c>
      <c r="V291">
        <f t="shared" si="66"/>
        <v>0</v>
      </c>
      <c r="W291">
        <f t="shared" si="69"/>
        <v>0</v>
      </c>
      <c r="X291" t="s">
        <v>844</v>
      </c>
      <c r="Y291" t="s">
        <v>845</v>
      </c>
      <c r="Z291" s="3" t="s">
        <v>204</v>
      </c>
      <c r="AA291" t="s">
        <v>800</v>
      </c>
      <c r="AB291">
        <v>21</v>
      </c>
      <c r="AC291" s="8" t="s">
        <v>1071</v>
      </c>
      <c r="AD291" s="8" t="s">
        <v>1055</v>
      </c>
      <c r="AE291" s="8">
        <v>175</v>
      </c>
      <c r="AF291" s="8">
        <v>5</v>
      </c>
      <c r="AG291" s="8" t="s">
        <v>1035</v>
      </c>
      <c r="AH291" s="8" t="s">
        <v>1032</v>
      </c>
    </row>
    <row r="292" spans="3:34" x14ac:dyDescent="0.25">
      <c r="C292" t="s">
        <v>846</v>
      </c>
      <c r="D292" t="s">
        <v>12</v>
      </c>
      <c r="E292" t="s">
        <v>14</v>
      </c>
      <c r="F292">
        <v>2</v>
      </c>
      <c r="G292">
        <v>307</v>
      </c>
      <c r="H292">
        <v>564.1</v>
      </c>
      <c r="I292">
        <v>54.4</v>
      </c>
      <c r="L292">
        <f t="shared" si="71"/>
        <v>0</v>
      </c>
      <c r="M292">
        <f t="shared" si="67"/>
        <v>0</v>
      </c>
      <c r="N292">
        <f t="shared" si="72"/>
        <v>0</v>
      </c>
      <c r="O292">
        <f t="shared" si="73"/>
        <v>0</v>
      </c>
      <c r="P292">
        <f t="shared" si="74"/>
        <v>0</v>
      </c>
      <c r="Q292">
        <f t="shared" si="75"/>
        <v>0</v>
      </c>
      <c r="R292">
        <f t="shared" si="70"/>
        <v>0</v>
      </c>
      <c r="S292">
        <f t="shared" si="65"/>
        <v>0</v>
      </c>
      <c r="T292">
        <f t="shared" si="76"/>
        <v>0</v>
      </c>
      <c r="U292">
        <f t="shared" si="68"/>
        <v>0</v>
      </c>
      <c r="V292">
        <f t="shared" si="66"/>
        <v>0</v>
      </c>
      <c r="W292">
        <f t="shared" si="69"/>
        <v>0</v>
      </c>
      <c r="X292" t="s">
        <v>847</v>
      </c>
      <c r="Y292" t="s">
        <v>848</v>
      </c>
      <c r="Z292" s="3" t="s">
        <v>204</v>
      </c>
      <c r="AA292" t="s">
        <v>805</v>
      </c>
      <c r="AB292">
        <v>21</v>
      </c>
      <c r="AC292" s="8" t="s">
        <v>1071</v>
      </c>
      <c r="AD292" s="8" t="s">
        <v>1055</v>
      </c>
      <c r="AE292" s="8">
        <v>175</v>
      </c>
      <c r="AF292" s="8">
        <v>5</v>
      </c>
      <c r="AG292" s="8" t="s">
        <v>1035</v>
      </c>
      <c r="AH292" s="8" t="s">
        <v>1032</v>
      </c>
    </row>
    <row r="293" spans="3:34" x14ac:dyDescent="0.25">
      <c r="C293" t="s">
        <v>849</v>
      </c>
      <c r="D293" t="s">
        <v>12</v>
      </c>
      <c r="E293" t="s">
        <v>14</v>
      </c>
      <c r="F293">
        <v>2</v>
      </c>
      <c r="G293">
        <v>292</v>
      </c>
      <c r="H293">
        <v>536.20000000000005</v>
      </c>
      <c r="I293">
        <v>54.5</v>
      </c>
      <c r="L293">
        <f t="shared" si="71"/>
        <v>0</v>
      </c>
      <c r="M293">
        <f t="shared" si="67"/>
        <v>0</v>
      </c>
      <c r="N293">
        <f t="shared" si="72"/>
        <v>0</v>
      </c>
      <c r="O293">
        <f t="shared" si="73"/>
        <v>0</v>
      </c>
      <c r="P293">
        <f t="shared" si="74"/>
        <v>0</v>
      </c>
      <c r="Q293">
        <f t="shared" si="75"/>
        <v>0</v>
      </c>
      <c r="R293">
        <f t="shared" si="70"/>
        <v>0</v>
      </c>
      <c r="S293">
        <f t="shared" si="65"/>
        <v>0</v>
      </c>
      <c r="T293">
        <f t="shared" si="76"/>
        <v>0</v>
      </c>
      <c r="U293">
        <f t="shared" si="68"/>
        <v>0</v>
      </c>
      <c r="V293">
        <f t="shared" si="66"/>
        <v>0</v>
      </c>
      <c r="W293">
        <f t="shared" si="69"/>
        <v>0</v>
      </c>
      <c r="X293" t="s">
        <v>850</v>
      </c>
      <c r="Y293" t="s">
        <v>851</v>
      </c>
      <c r="Z293" s="3" t="s">
        <v>211</v>
      </c>
      <c r="AA293" t="s">
        <v>828</v>
      </c>
      <c r="AB293">
        <v>21</v>
      </c>
      <c r="AC293" s="8" t="s">
        <v>1071</v>
      </c>
      <c r="AD293" s="8" t="s">
        <v>1055</v>
      </c>
      <c r="AE293" s="8">
        <v>175</v>
      </c>
      <c r="AF293" s="8">
        <v>5</v>
      </c>
      <c r="AG293" s="8" t="s">
        <v>1035</v>
      </c>
      <c r="AH293" s="8" t="s">
        <v>1032</v>
      </c>
    </row>
    <row r="294" spans="3:34" x14ac:dyDescent="0.25">
      <c r="C294" t="s">
        <v>852</v>
      </c>
      <c r="D294" t="s">
        <v>12</v>
      </c>
      <c r="E294" t="s">
        <v>14</v>
      </c>
      <c r="F294">
        <v>1</v>
      </c>
      <c r="G294">
        <v>326.5</v>
      </c>
      <c r="H294">
        <v>584</v>
      </c>
      <c r="I294">
        <v>55.9</v>
      </c>
      <c r="L294">
        <f t="shared" si="71"/>
        <v>0</v>
      </c>
      <c r="M294">
        <f t="shared" si="67"/>
        <v>0</v>
      </c>
      <c r="N294">
        <f t="shared" si="72"/>
        <v>0</v>
      </c>
      <c r="O294">
        <f t="shared" si="73"/>
        <v>0</v>
      </c>
      <c r="P294">
        <f t="shared" si="74"/>
        <v>0</v>
      </c>
      <c r="Q294">
        <f t="shared" si="75"/>
        <v>0</v>
      </c>
      <c r="R294">
        <f t="shared" si="70"/>
        <v>0</v>
      </c>
      <c r="S294">
        <f t="shared" si="65"/>
        <v>0</v>
      </c>
      <c r="T294">
        <f t="shared" si="76"/>
        <v>0</v>
      </c>
      <c r="U294">
        <f t="shared" si="68"/>
        <v>0</v>
      </c>
      <c r="V294">
        <f t="shared" si="66"/>
        <v>0</v>
      </c>
      <c r="W294">
        <f t="shared" si="69"/>
        <v>0</v>
      </c>
      <c r="X294" t="s">
        <v>853</v>
      </c>
      <c r="Y294" t="s">
        <v>854</v>
      </c>
      <c r="Z294" s="3" t="s">
        <v>216</v>
      </c>
      <c r="AA294" t="s">
        <v>800</v>
      </c>
      <c r="AB294">
        <v>21</v>
      </c>
      <c r="AC294" s="8" t="s">
        <v>1071</v>
      </c>
      <c r="AD294" s="8" t="s">
        <v>1055</v>
      </c>
      <c r="AE294" s="8">
        <v>175</v>
      </c>
      <c r="AF294" s="8">
        <v>5</v>
      </c>
      <c r="AG294" s="8" t="s">
        <v>1035</v>
      </c>
      <c r="AH294" s="8" t="s">
        <v>1032</v>
      </c>
    </row>
    <row r="295" spans="3:34" x14ac:dyDescent="0.25">
      <c r="C295" t="s">
        <v>855</v>
      </c>
      <c r="D295" t="s">
        <v>12</v>
      </c>
      <c r="E295" t="s">
        <v>14</v>
      </c>
      <c r="F295">
        <v>2</v>
      </c>
      <c r="G295">
        <v>346</v>
      </c>
      <c r="H295">
        <v>616.4</v>
      </c>
      <c r="I295">
        <v>56.1</v>
      </c>
      <c r="L295">
        <f t="shared" si="71"/>
        <v>0</v>
      </c>
      <c r="M295">
        <f t="shared" si="67"/>
        <v>0</v>
      </c>
      <c r="N295">
        <f t="shared" si="72"/>
        <v>0</v>
      </c>
      <c r="O295">
        <f t="shared" si="73"/>
        <v>0</v>
      </c>
      <c r="P295">
        <f t="shared" si="74"/>
        <v>0</v>
      </c>
      <c r="Q295">
        <f t="shared" si="75"/>
        <v>0</v>
      </c>
      <c r="R295">
        <f t="shared" si="70"/>
        <v>0</v>
      </c>
      <c r="S295">
        <f t="shared" si="65"/>
        <v>0</v>
      </c>
      <c r="T295">
        <f t="shared" si="76"/>
        <v>0</v>
      </c>
      <c r="U295">
        <f t="shared" si="68"/>
        <v>0</v>
      </c>
      <c r="V295">
        <f t="shared" si="66"/>
        <v>0</v>
      </c>
      <c r="W295">
        <f t="shared" si="69"/>
        <v>0</v>
      </c>
      <c r="X295" t="s">
        <v>856</v>
      </c>
      <c r="Y295" t="s">
        <v>857</v>
      </c>
      <c r="Z295" s="3" t="s">
        <v>221</v>
      </c>
      <c r="AA295" t="s">
        <v>858</v>
      </c>
      <c r="AB295">
        <v>21</v>
      </c>
      <c r="AC295" s="8" t="s">
        <v>1071</v>
      </c>
      <c r="AD295" s="8" t="s">
        <v>1055</v>
      </c>
      <c r="AE295" s="8">
        <v>175</v>
      </c>
      <c r="AF295" s="8">
        <v>5</v>
      </c>
      <c r="AG295" s="8" t="s">
        <v>1035</v>
      </c>
      <c r="AH295" s="8" t="s">
        <v>1032</v>
      </c>
    </row>
    <row r="296" spans="3:34" x14ac:dyDescent="0.25">
      <c r="C296" t="s">
        <v>232</v>
      </c>
      <c r="D296" t="s">
        <v>12</v>
      </c>
      <c r="E296" t="s">
        <v>14</v>
      </c>
      <c r="F296">
        <v>1</v>
      </c>
      <c r="G296">
        <v>344.5</v>
      </c>
      <c r="H296">
        <v>623.29999999999995</v>
      </c>
      <c r="I296">
        <v>55.3</v>
      </c>
      <c r="K296" t="s">
        <v>41</v>
      </c>
      <c r="L296">
        <f t="shared" si="71"/>
        <v>1</v>
      </c>
      <c r="M296">
        <f t="shared" si="67"/>
        <v>0</v>
      </c>
      <c r="N296">
        <f t="shared" si="72"/>
        <v>0</v>
      </c>
      <c r="O296">
        <f t="shared" si="73"/>
        <v>0</v>
      </c>
      <c r="P296">
        <f t="shared" si="74"/>
        <v>0</v>
      </c>
      <c r="Q296">
        <f t="shared" si="75"/>
        <v>1</v>
      </c>
      <c r="R296">
        <f t="shared" si="70"/>
        <v>0</v>
      </c>
      <c r="S296">
        <f t="shared" si="65"/>
        <v>0</v>
      </c>
      <c r="T296">
        <f t="shared" si="76"/>
        <v>0</v>
      </c>
      <c r="U296">
        <f t="shared" si="68"/>
        <v>0</v>
      </c>
      <c r="V296">
        <f t="shared" si="66"/>
        <v>0</v>
      </c>
      <c r="W296">
        <f t="shared" si="69"/>
        <v>0</v>
      </c>
      <c r="X296" t="s">
        <v>859</v>
      </c>
      <c r="Y296" t="s">
        <v>857</v>
      </c>
      <c r="Z296" s="3" t="s">
        <v>860</v>
      </c>
      <c r="AA296" t="s">
        <v>805</v>
      </c>
      <c r="AB296">
        <v>21</v>
      </c>
      <c r="AC296" s="8" t="s">
        <v>1071</v>
      </c>
      <c r="AD296" s="8" t="s">
        <v>1055</v>
      </c>
      <c r="AE296" s="8">
        <v>175</v>
      </c>
      <c r="AF296" s="8">
        <v>5</v>
      </c>
      <c r="AG296" s="8" t="s">
        <v>1035</v>
      </c>
      <c r="AH296" s="8" t="s">
        <v>1032</v>
      </c>
    </row>
    <row r="297" spans="3:34" x14ac:dyDescent="0.25">
      <c r="C297" t="s">
        <v>237</v>
      </c>
      <c r="D297" t="s">
        <v>12</v>
      </c>
      <c r="E297" t="s">
        <v>14</v>
      </c>
      <c r="F297">
        <v>2</v>
      </c>
      <c r="G297">
        <v>328.5</v>
      </c>
      <c r="H297">
        <v>570.1</v>
      </c>
      <c r="I297">
        <v>57.6</v>
      </c>
      <c r="L297">
        <f t="shared" si="71"/>
        <v>0</v>
      </c>
      <c r="M297">
        <f t="shared" si="67"/>
        <v>0</v>
      </c>
      <c r="N297">
        <f t="shared" si="72"/>
        <v>0</v>
      </c>
      <c r="O297">
        <f t="shared" si="73"/>
        <v>0</v>
      </c>
      <c r="P297">
        <f t="shared" si="74"/>
        <v>0</v>
      </c>
      <c r="Q297">
        <f t="shared" si="75"/>
        <v>0</v>
      </c>
      <c r="R297">
        <f t="shared" si="70"/>
        <v>0</v>
      </c>
      <c r="S297">
        <f t="shared" si="65"/>
        <v>0</v>
      </c>
      <c r="T297">
        <f t="shared" si="76"/>
        <v>0</v>
      </c>
      <c r="U297">
        <f t="shared" si="68"/>
        <v>0</v>
      </c>
      <c r="V297">
        <f t="shared" si="66"/>
        <v>0</v>
      </c>
      <c r="W297">
        <f t="shared" si="69"/>
        <v>0</v>
      </c>
      <c r="X297" t="s">
        <v>861</v>
      </c>
      <c r="Y297" t="s">
        <v>862</v>
      </c>
      <c r="Z297" s="3" t="s">
        <v>225</v>
      </c>
      <c r="AA297" t="s">
        <v>828</v>
      </c>
      <c r="AB297">
        <v>21</v>
      </c>
      <c r="AC297" s="8" t="s">
        <v>1071</v>
      </c>
      <c r="AD297" s="8" t="s">
        <v>1055</v>
      </c>
      <c r="AE297" s="8">
        <v>175</v>
      </c>
      <c r="AF297" s="8">
        <v>5</v>
      </c>
      <c r="AG297" s="8" t="s">
        <v>1035</v>
      </c>
      <c r="AH297" s="8" t="s">
        <v>1032</v>
      </c>
    </row>
    <row r="298" spans="3:34" x14ac:dyDescent="0.25">
      <c r="C298" t="s">
        <v>240</v>
      </c>
      <c r="D298" t="s">
        <v>12</v>
      </c>
      <c r="E298" t="s">
        <v>14</v>
      </c>
      <c r="F298">
        <v>2</v>
      </c>
      <c r="G298">
        <v>343</v>
      </c>
      <c r="H298">
        <v>598.6</v>
      </c>
      <c r="I298">
        <v>57.3</v>
      </c>
      <c r="L298">
        <f t="shared" si="71"/>
        <v>0</v>
      </c>
      <c r="M298">
        <f t="shared" si="67"/>
        <v>0</v>
      </c>
      <c r="N298">
        <f t="shared" si="72"/>
        <v>0</v>
      </c>
      <c r="O298">
        <f t="shared" si="73"/>
        <v>0</v>
      </c>
      <c r="P298">
        <f t="shared" si="74"/>
        <v>0</v>
      </c>
      <c r="Q298">
        <f t="shared" si="75"/>
        <v>0</v>
      </c>
      <c r="R298">
        <f t="shared" si="70"/>
        <v>0</v>
      </c>
      <c r="S298">
        <f t="shared" si="65"/>
        <v>0</v>
      </c>
      <c r="T298">
        <f t="shared" si="76"/>
        <v>0</v>
      </c>
      <c r="U298">
        <f t="shared" si="68"/>
        <v>0</v>
      </c>
      <c r="V298">
        <f t="shared" si="66"/>
        <v>0</v>
      </c>
      <c r="W298">
        <f t="shared" si="69"/>
        <v>0</v>
      </c>
      <c r="X298" t="s">
        <v>863</v>
      </c>
      <c r="Y298" t="s">
        <v>864</v>
      </c>
      <c r="Z298" s="3" t="s">
        <v>228</v>
      </c>
      <c r="AA298" t="s">
        <v>865</v>
      </c>
      <c r="AB298">
        <v>21</v>
      </c>
      <c r="AC298" s="8" t="s">
        <v>1071</v>
      </c>
      <c r="AD298" s="8" t="s">
        <v>1055</v>
      </c>
      <c r="AE298" s="8">
        <v>175</v>
      </c>
      <c r="AF298" s="8">
        <v>5</v>
      </c>
      <c r="AG298" s="8" t="s">
        <v>1035</v>
      </c>
      <c r="AH298" s="8" t="s">
        <v>1032</v>
      </c>
    </row>
    <row r="299" spans="3:34" x14ac:dyDescent="0.25">
      <c r="C299" t="s">
        <v>244</v>
      </c>
      <c r="D299" t="s">
        <v>12</v>
      </c>
      <c r="E299" t="s">
        <v>14</v>
      </c>
      <c r="F299">
        <v>2</v>
      </c>
      <c r="G299">
        <v>328.5</v>
      </c>
      <c r="H299">
        <v>577.20000000000005</v>
      </c>
      <c r="I299">
        <v>56.9</v>
      </c>
      <c r="L299">
        <f t="shared" si="71"/>
        <v>0</v>
      </c>
      <c r="M299">
        <f t="shared" si="67"/>
        <v>0</v>
      </c>
      <c r="N299">
        <f t="shared" si="72"/>
        <v>0</v>
      </c>
      <c r="O299">
        <f t="shared" si="73"/>
        <v>0</v>
      </c>
      <c r="P299">
        <f t="shared" si="74"/>
        <v>0</v>
      </c>
      <c r="Q299">
        <f t="shared" si="75"/>
        <v>0</v>
      </c>
      <c r="R299">
        <f t="shared" si="70"/>
        <v>0</v>
      </c>
      <c r="S299">
        <f t="shared" si="65"/>
        <v>0</v>
      </c>
      <c r="T299">
        <f t="shared" si="76"/>
        <v>0</v>
      </c>
      <c r="U299">
        <f t="shared" si="68"/>
        <v>0</v>
      </c>
      <c r="V299">
        <f t="shared" si="66"/>
        <v>0</v>
      </c>
      <c r="W299">
        <f t="shared" si="69"/>
        <v>0</v>
      </c>
      <c r="X299" t="s">
        <v>866</v>
      </c>
      <c r="Y299" t="s">
        <v>867</v>
      </c>
      <c r="Z299" s="3" t="s">
        <v>868</v>
      </c>
      <c r="AA299" t="s">
        <v>828</v>
      </c>
      <c r="AB299">
        <v>21</v>
      </c>
      <c r="AC299" s="8" t="s">
        <v>1071</v>
      </c>
      <c r="AD299" s="8" t="s">
        <v>1055</v>
      </c>
      <c r="AE299" s="8">
        <v>175</v>
      </c>
      <c r="AF299" s="8">
        <v>5</v>
      </c>
      <c r="AG299" s="8" t="s">
        <v>1035</v>
      </c>
      <c r="AH299" s="8" t="s">
        <v>1032</v>
      </c>
    </row>
    <row r="300" spans="3:34" x14ac:dyDescent="0.25">
      <c r="C300" t="s">
        <v>249</v>
      </c>
      <c r="D300" t="s">
        <v>12</v>
      </c>
      <c r="E300" t="s">
        <v>14</v>
      </c>
      <c r="F300">
        <v>2</v>
      </c>
      <c r="G300">
        <v>360.5</v>
      </c>
      <c r="H300">
        <v>642.5</v>
      </c>
      <c r="I300">
        <v>56.1</v>
      </c>
      <c r="L300">
        <f t="shared" si="71"/>
        <v>0</v>
      </c>
      <c r="M300">
        <f t="shared" si="67"/>
        <v>0</v>
      </c>
      <c r="N300">
        <f t="shared" si="72"/>
        <v>0</v>
      </c>
      <c r="O300">
        <f t="shared" si="73"/>
        <v>0</v>
      </c>
      <c r="P300">
        <f t="shared" si="74"/>
        <v>0</v>
      </c>
      <c r="Q300">
        <f t="shared" si="75"/>
        <v>0</v>
      </c>
      <c r="R300">
        <f t="shared" si="70"/>
        <v>0</v>
      </c>
      <c r="S300">
        <f t="shared" ref="S300:S363" si="77">IF(K300="Contaminated", 1, 0)</f>
        <v>0</v>
      </c>
      <c r="T300">
        <f t="shared" si="76"/>
        <v>0</v>
      </c>
      <c r="U300">
        <f t="shared" si="68"/>
        <v>0</v>
      </c>
      <c r="V300">
        <f t="shared" si="66"/>
        <v>0</v>
      </c>
      <c r="W300">
        <f t="shared" si="69"/>
        <v>0</v>
      </c>
      <c r="X300" t="s">
        <v>869</v>
      </c>
      <c r="Y300" t="s">
        <v>870</v>
      </c>
      <c r="Z300" s="3" t="s">
        <v>871</v>
      </c>
      <c r="AA300" t="s">
        <v>814</v>
      </c>
      <c r="AB300">
        <v>21</v>
      </c>
      <c r="AC300" s="8" t="s">
        <v>1071</v>
      </c>
      <c r="AD300" s="8" t="s">
        <v>1055</v>
      </c>
      <c r="AE300" s="8">
        <v>175</v>
      </c>
      <c r="AF300" s="8">
        <v>5</v>
      </c>
      <c r="AG300" s="8" t="s">
        <v>1035</v>
      </c>
      <c r="AH300" s="8" t="s">
        <v>1032</v>
      </c>
    </row>
    <row r="301" spans="3:34" x14ac:dyDescent="0.25">
      <c r="C301" t="s">
        <v>253</v>
      </c>
      <c r="D301" t="s">
        <v>12</v>
      </c>
      <c r="E301" t="s">
        <v>14</v>
      </c>
      <c r="F301">
        <v>2</v>
      </c>
      <c r="G301">
        <v>340</v>
      </c>
      <c r="H301">
        <v>608.1</v>
      </c>
      <c r="I301">
        <v>55.9</v>
      </c>
      <c r="K301" t="s">
        <v>317</v>
      </c>
      <c r="L301">
        <f t="shared" si="71"/>
        <v>1</v>
      </c>
      <c r="M301">
        <f t="shared" si="67"/>
        <v>0</v>
      </c>
      <c r="N301">
        <f t="shared" si="72"/>
        <v>0</v>
      </c>
      <c r="O301">
        <f t="shared" si="73"/>
        <v>0</v>
      </c>
      <c r="P301">
        <f t="shared" si="74"/>
        <v>0</v>
      </c>
      <c r="Q301">
        <f t="shared" si="75"/>
        <v>0</v>
      </c>
      <c r="R301">
        <f t="shared" si="70"/>
        <v>0</v>
      </c>
      <c r="S301">
        <f t="shared" si="77"/>
        <v>1</v>
      </c>
      <c r="T301">
        <f t="shared" si="76"/>
        <v>0</v>
      </c>
      <c r="U301">
        <f t="shared" si="68"/>
        <v>0</v>
      </c>
      <c r="V301">
        <f t="shared" si="66"/>
        <v>0</v>
      </c>
      <c r="W301">
        <f t="shared" si="69"/>
        <v>0</v>
      </c>
      <c r="X301" t="s">
        <v>872</v>
      </c>
      <c r="Y301" t="s">
        <v>873</v>
      </c>
      <c r="Z301" s="3" t="s">
        <v>874</v>
      </c>
      <c r="AA301" t="s">
        <v>800</v>
      </c>
      <c r="AB301">
        <v>21</v>
      </c>
      <c r="AC301" s="8" t="s">
        <v>1071</v>
      </c>
      <c r="AD301" s="8" t="s">
        <v>1055</v>
      </c>
      <c r="AE301" s="8">
        <v>175</v>
      </c>
      <c r="AF301" s="8">
        <v>5</v>
      </c>
      <c r="AG301" s="8" t="s">
        <v>1035</v>
      </c>
      <c r="AH301" s="8" t="s">
        <v>1032</v>
      </c>
    </row>
    <row r="302" spans="3:34" x14ac:dyDescent="0.25">
      <c r="C302" t="s">
        <v>257</v>
      </c>
      <c r="D302" t="s">
        <v>12</v>
      </c>
      <c r="E302" t="s">
        <v>14</v>
      </c>
      <c r="F302">
        <v>2</v>
      </c>
      <c r="G302">
        <v>339</v>
      </c>
      <c r="H302">
        <v>617.6</v>
      </c>
      <c r="I302">
        <v>54.9</v>
      </c>
      <c r="L302">
        <f t="shared" si="71"/>
        <v>0</v>
      </c>
      <c r="M302">
        <f t="shared" si="67"/>
        <v>0</v>
      </c>
      <c r="N302">
        <f t="shared" si="72"/>
        <v>0</v>
      </c>
      <c r="O302">
        <f t="shared" si="73"/>
        <v>0</v>
      </c>
      <c r="P302">
        <f t="shared" si="74"/>
        <v>0</v>
      </c>
      <c r="Q302">
        <f t="shared" si="75"/>
        <v>0</v>
      </c>
      <c r="R302">
        <f t="shared" si="70"/>
        <v>0</v>
      </c>
      <c r="S302">
        <f t="shared" si="77"/>
        <v>0</v>
      </c>
      <c r="T302">
        <f t="shared" si="76"/>
        <v>0</v>
      </c>
      <c r="U302">
        <f t="shared" si="68"/>
        <v>0</v>
      </c>
      <c r="V302">
        <f t="shared" si="66"/>
        <v>0</v>
      </c>
      <c r="W302">
        <f t="shared" si="69"/>
        <v>0</v>
      </c>
      <c r="X302" t="s">
        <v>875</v>
      </c>
      <c r="Y302" t="s">
        <v>876</v>
      </c>
      <c r="Z302" s="3" t="s">
        <v>824</v>
      </c>
      <c r="AA302" t="s">
        <v>839</v>
      </c>
      <c r="AB302">
        <v>21</v>
      </c>
      <c r="AC302" s="8" t="s">
        <v>1071</v>
      </c>
      <c r="AD302" s="8" t="s">
        <v>1055</v>
      </c>
      <c r="AE302" s="8">
        <v>175</v>
      </c>
      <c r="AF302" s="8">
        <v>5</v>
      </c>
      <c r="AG302" s="8" t="s">
        <v>1035</v>
      </c>
      <c r="AH302" s="8" t="s">
        <v>1032</v>
      </c>
    </row>
    <row r="303" spans="3:34" x14ac:dyDescent="0.25">
      <c r="C303" t="s">
        <v>877</v>
      </c>
      <c r="D303" t="s">
        <v>12</v>
      </c>
      <c r="E303" t="s">
        <v>14</v>
      </c>
      <c r="F303">
        <v>2</v>
      </c>
      <c r="G303">
        <v>300</v>
      </c>
      <c r="H303">
        <v>540.20000000000005</v>
      </c>
      <c r="I303">
        <v>55.5</v>
      </c>
      <c r="K303" t="s">
        <v>180</v>
      </c>
      <c r="L303">
        <f t="shared" si="71"/>
        <v>1</v>
      </c>
      <c r="M303">
        <f t="shared" si="67"/>
        <v>0</v>
      </c>
      <c r="N303">
        <f t="shared" si="72"/>
        <v>0</v>
      </c>
      <c r="O303">
        <f t="shared" si="73"/>
        <v>0</v>
      </c>
      <c r="P303">
        <f t="shared" si="74"/>
        <v>0</v>
      </c>
      <c r="Q303">
        <f t="shared" si="75"/>
        <v>0</v>
      </c>
      <c r="R303">
        <f t="shared" si="70"/>
        <v>0</v>
      </c>
      <c r="S303">
        <f t="shared" si="77"/>
        <v>0</v>
      </c>
      <c r="T303">
        <f t="shared" si="76"/>
        <v>0</v>
      </c>
      <c r="U303">
        <f t="shared" si="68"/>
        <v>0</v>
      </c>
      <c r="V303">
        <f t="shared" si="66"/>
        <v>0</v>
      </c>
      <c r="W303">
        <f t="shared" si="69"/>
        <v>1</v>
      </c>
      <c r="X303" t="s">
        <v>878</v>
      </c>
      <c r="Y303" t="s">
        <v>876</v>
      </c>
      <c r="Z303" s="3" t="s">
        <v>879</v>
      </c>
      <c r="AA303" t="s">
        <v>810</v>
      </c>
      <c r="AB303">
        <v>21</v>
      </c>
      <c r="AC303" s="8" t="s">
        <v>1071</v>
      </c>
      <c r="AD303" s="8" t="s">
        <v>1055</v>
      </c>
      <c r="AE303" s="8">
        <v>175</v>
      </c>
      <c r="AF303" s="8">
        <v>5</v>
      </c>
      <c r="AG303" s="8" t="s">
        <v>1035</v>
      </c>
      <c r="AH303" s="8" t="s">
        <v>1032</v>
      </c>
    </row>
    <row r="304" spans="3:34" x14ac:dyDescent="0.25">
      <c r="C304" t="s">
        <v>880</v>
      </c>
      <c r="D304" t="s">
        <v>12</v>
      </c>
      <c r="E304" t="s">
        <v>14</v>
      </c>
      <c r="F304">
        <v>2</v>
      </c>
      <c r="G304">
        <v>335</v>
      </c>
      <c r="H304">
        <v>600.5</v>
      </c>
      <c r="I304">
        <v>55.8</v>
      </c>
      <c r="L304">
        <f t="shared" si="71"/>
        <v>0</v>
      </c>
      <c r="M304">
        <f t="shared" si="67"/>
        <v>0</v>
      </c>
      <c r="N304">
        <f t="shared" si="72"/>
        <v>0</v>
      </c>
      <c r="O304">
        <f t="shared" si="73"/>
        <v>0</v>
      </c>
      <c r="P304">
        <f t="shared" si="74"/>
        <v>0</v>
      </c>
      <c r="Q304">
        <f t="shared" si="75"/>
        <v>0</v>
      </c>
      <c r="R304">
        <f t="shared" si="70"/>
        <v>0</v>
      </c>
      <c r="S304">
        <f t="shared" si="77"/>
        <v>0</v>
      </c>
      <c r="T304">
        <f t="shared" si="76"/>
        <v>0</v>
      </c>
      <c r="U304">
        <f t="shared" si="68"/>
        <v>0</v>
      </c>
      <c r="V304">
        <f t="shared" si="66"/>
        <v>0</v>
      </c>
      <c r="W304">
        <f t="shared" si="69"/>
        <v>0</v>
      </c>
      <c r="X304" t="s">
        <v>881</v>
      </c>
      <c r="Y304" t="s">
        <v>46</v>
      </c>
      <c r="Z304" s="3" t="s">
        <v>882</v>
      </c>
      <c r="AA304" t="s">
        <v>865</v>
      </c>
      <c r="AB304">
        <v>21</v>
      </c>
      <c r="AC304" s="8" t="s">
        <v>1071</v>
      </c>
      <c r="AD304" s="8" t="s">
        <v>1055</v>
      </c>
      <c r="AE304" s="8">
        <v>175</v>
      </c>
      <c r="AF304" s="8">
        <v>5</v>
      </c>
      <c r="AG304" s="8" t="s">
        <v>1035</v>
      </c>
      <c r="AH304" s="8" t="s">
        <v>1032</v>
      </c>
    </row>
    <row r="305" spans="1:35" x14ac:dyDescent="0.25">
      <c r="C305" t="s">
        <v>883</v>
      </c>
      <c r="D305" t="s">
        <v>12</v>
      </c>
      <c r="E305" t="s">
        <v>14</v>
      </c>
      <c r="F305">
        <v>2</v>
      </c>
      <c r="G305">
        <v>329.5</v>
      </c>
      <c r="H305">
        <v>781.3</v>
      </c>
      <c r="I305">
        <v>42.2</v>
      </c>
      <c r="L305">
        <f t="shared" si="71"/>
        <v>0</v>
      </c>
      <c r="M305">
        <f t="shared" si="67"/>
        <v>0</v>
      </c>
      <c r="N305">
        <f t="shared" si="72"/>
        <v>0</v>
      </c>
      <c r="O305">
        <f t="shared" si="73"/>
        <v>0</v>
      </c>
      <c r="P305">
        <f t="shared" si="74"/>
        <v>0</v>
      </c>
      <c r="Q305">
        <f t="shared" si="75"/>
        <v>0</v>
      </c>
      <c r="R305">
        <f t="shared" si="70"/>
        <v>0</v>
      </c>
      <c r="S305">
        <f t="shared" si="77"/>
        <v>0</v>
      </c>
      <c r="T305">
        <f t="shared" si="76"/>
        <v>0</v>
      </c>
      <c r="U305">
        <f t="shared" si="68"/>
        <v>0</v>
      </c>
      <c r="V305">
        <f t="shared" si="66"/>
        <v>0</v>
      </c>
      <c r="W305">
        <f t="shared" si="69"/>
        <v>0</v>
      </c>
      <c r="X305" t="s">
        <v>884</v>
      </c>
      <c r="Y305" t="s">
        <v>49</v>
      </c>
      <c r="Z305" s="3" t="s">
        <v>885</v>
      </c>
      <c r="AA305" t="s">
        <v>800</v>
      </c>
      <c r="AB305">
        <v>21</v>
      </c>
      <c r="AC305" s="8" t="s">
        <v>1071</v>
      </c>
      <c r="AD305" s="8" t="s">
        <v>1055</v>
      </c>
      <c r="AE305" s="8">
        <v>175</v>
      </c>
      <c r="AF305" s="8">
        <v>5</v>
      </c>
      <c r="AG305" s="8" t="s">
        <v>1035</v>
      </c>
      <c r="AH305" s="8" t="s">
        <v>1032</v>
      </c>
    </row>
    <row r="306" spans="1:35" x14ac:dyDescent="0.25">
      <c r="C306" t="s">
        <v>886</v>
      </c>
      <c r="D306" t="s">
        <v>12</v>
      </c>
      <c r="E306" t="s">
        <v>14</v>
      </c>
      <c r="F306">
        <v>2</v>
      </c>
      <c r="G306">
        <v>299.5</v>
      </c>
      <c r="H306">
        <v>568.70000000000005</v>
      </c>
      <c r="I306">
        <v>52.7</v>
      </c>
      <c r="L306">
        <f t="shared" si="71"/>
        <v>0</v>
      </c>
      <c r="M306">
        <f t="shared" si="67"/>
        <v>0</v>
      </c>
      <c r="N306">
        <f t="shared" si="72"/>
        <v>0</v>
      </c>
      <c r="O306">
        <f t="shared" si="73"/>
        <v>0</v>
      </c>
      <c r="P306">
        <f t="shared" si="74"/>
        <v>0</v>
      </c>
      <c r="Q306">
        <f t="shared" si="75"/>
        <v>0</v>
      </c>
      <c r="R306">
        <f t="shared" si="70"/>
        <v>0</v>
      </c>
      <c r="S306">
        <f t="shared" si="77"/>
        <v>0</v>
      </c>
      <c r="T306">
        <f t="shared" si="76"/>
        <v>0</v>
      </c>
      <c r="U306">
        <f t="shared" si="68"/>
        <v>0</v>
      </c>
      <c r="V306">
        <f t="shared" si="66"/>
        <v>0</v>
      </c>
      <c r="W306">
        <f t="shared" si="69"/>
        <v>0</v>
      </c>
      <c r="X306" t="s">
        <v>887</v>
      </c>
      <c r="Y306" t="s">
        <v>888</v>
      </c>
      <c r="Z306" s="3" t="s">
        <v>889</v>
      </c>
      <c r="AA306" t="s">
        <v>814</v>
      </c>
      <c r="AB306">
        <v>21</v>
      </c>
      <c r="AC306" s="8" t="s">
        <v>1071</v>
      </c>
      <c r="AD306" s="8" t="s">
        <v>1055</v>
      </c>
      <c r="AE306" s="8">
        <v>175</v>
      </c>
      <c r="AF306" s="8">
        <v>5</v>
      </c>
      <c r="AG306" s="8" t="s">
        <v>1035</v>
      </c>
      <c r="AH306" s="8" t="s">
        <v>1032</v>
      </c>
    </row>
    <row r="307" spans="1:35" x14ac:dyDescent="0.25">
      <c r="C307" t="s">
        <v>890</v>
      </c>
      <c r="D307" t="s">
        <v>12</v>
      </c>
      <c r="E307" t="s">
        <v>14</v>
      </c>
      <c r="F307">
        <v>2</v>
      </c>
      <c r="G307">
        <v>317.5</v>
      </c>
      <c r="H307">
        <v>541.79999999999995</v>
      </c>
      <c r="I307">
        <v>58.6</v>
      </c>
      <c r="L307">
        <f t="shared" si="71"/>
        <v>0</v>
      </c>
      <c r="M307">
        <f t="shared" si="67"/>
        <v>0</v>
      </c>
      <c r="N307">
        <f t="shared" si="72"/>
        <v>0</v>
      </c>
      <c r="O307">
        <f t="shared" si="73"/>
        <v>0</v>
      </c>
      <c r="P307">
        <f t="shared" si="74"/>
        <v>0</v>
      </c>
      <c r="Q307">
        <f t="shared" si="75"/>
        <v>0</v>
      </c>
      <c r="R307">
        <f t="shared" si="70"/>
        <v>0</v>
      </c>
      <c r="S307">
        <f t="shared" si="77"/>
        <v>0</v>
      </c>
      <c r="T307">
        <f t="shared" si="76"/>
        <v>0</v>
      </c>
      <c r="U307">
        <f t="shared" si="68"/>
        <v>0</v>
      </c>
      <c r="V307">
        <f t="shared" si="66"/>
        <v>0</v>
      </c>
      <c r="W307">
        <f t="shared" si="69"/>
        <v>0</v>
      </c>
      <c r="X307" t="s">
        <v>891</v>
      </c>
      <c r="Y307" t="s">
        <v>888</v>
      </c>
      <c r="Z307" s="3" t="s">
        <v>892</v>
      </c>
      <c r="AA307" t="s">
        <v>805</v>
      </c>
      <c r="AB307">
        <v>21</v>
      </c>
      <c r="AC307" s="8" t="s">
        <v>1071</v>
      </c>
      <c r="AD307" s="8" t="s">
        <v>1055</v>
      </c>
      <c r="AE307" s="8">
        <v>175</v>
      </c>
      <c r="AF307" s="8">
        <v>5</v>
      </c>
      <c r="AG307" s="8" t="s">
        <v>1035</v>
      </c>
      <c r="AH307" s="8" t="s">
        <v>1032</v>
      </c>
    </row>
    <row r="308" spans="1:35" x14ac:dyDescent="0.25">
      <c r="C308" t="s">
        <v>893</v>
      </c>
      <c r="D308" t="s">
        <v>12</v>
      </c>
      <c r="E308" t="s">
        <v>14</v>
      </c>
      <c r="F308">
        <v>2</v>
      </c>
      <c r="G308">
        <v>310.5</v>
      </c>
      <c r="H308">
        <v>551.6</v>
      </c>
      <c r="I308">
        <v>56.3</v>
      </c>
      <c r="L308">
        <f t="shared" si="71"/>
        <v>0</v>
      </c>
      <c r="M308">
        <f t="shared" si="67"/>
        <v>0</v>
      </c>
      <c r="N308">
        <f t="shared" si="72"/>
        <v>0</v>
      </c>
      <c r="O308">
        <f t="shared" si="73"/>
        <v>0</v>
      </c>
      <c r="P308">
        <f t="shared" si="74"/>
        <v>0</v>
      </c>
      <c r="Q308">
        <f t="shared" si="75"/>
        <v>0</v>
      </c>
      <c r="R308">
        <f t="shared" si="70"/>
        <v>0</v>
      </c>
      <c r="S308">
        <f t="shared" si="77"/>
        <v>0</v>
      </c>
      <c r="T308">
        <f t="shared" si="76"/>
        <v>0</v>
      </c>
      <c r="U308">
        <f t="shared" si="68"/>
        <v>0</v>
      </c>
      <c r="V308">
        <f t="shared" si="66"/>
        <v>0</v>
      </c>
      <c r="W308">
        <f t="shared" si="69"/>
        <v>0</v>
      </c>
      <c r="X308" t="s">
        <v>894</v>
      </c>
      <c r="Y308" t="s">
        <v>895</v>
      </c>
      <c r="Z308" s="3" t="s">
        <v>892</v>
      </c>
      <c r="AA308" t="s">
        <v>800</v>
      </c>
      <c r="AB308">
        <v>21</v>
      </c>
      <c r="AC308" s="8" t="s">
        <v>1071</v>
      </c>
      <c r="AD308" s="8" t="s">
        <v>1055</v>
      </c>
      <c r="AE308" s="8">
        <v>175</v>
      </c>
      <c r="AF308" s="8">
        <v>5</v>
      </c>
      <c r="AG308" s="8" t="s">
        <v>1035</v>
      </c>
      <c r="AH308" s="8" t="s">
        <v>1032</v>
      </c>
    </row>
    <row r="309" spans="1:35" x14ac:dyDescent="0.25">
      <c r="C309" t="s">
        <v>896</v>
      </c>
      <c r="D309" t="s">
        <v>12</v>
      </c>
      <c r="E309" t="s">
        <v>14</v>
      </c>
      <c r="F309">
        <v>2</v>
      </c>
      <c r="G309">
        <v>354</v>
      </c>
      <c r="H309">
        <v>626.6</v>
      </c>
      <c r="I309">
        <v>56.5</v>
      </c>
      <c r="L309">
        <f t="shared" si="71"/>
        <v>0</v>
      </c>
      <c r="M309">
        <f t="shared" si="67"/>
        <v>0</v>
      </c>
      <c r="N309">
        <f t="shared" si="72"/>
        <v>0</v>
      </c>
      <c r="O309">
        <f t="shared" si="73"/>
        <v>0</v>
      </c>
      <c r="P309">
        <f t="shared" si="74"/>
        <v>0</v>
      </c>
      <c r="Q309">
        <f t="shared" si="75"/>
        <v>0</v>
      </c>
      <c r="R309">
        <f t="shared" si="70"/>
        <v>0</v>
      </c>
      <c r="S309">
        <f t="shared" si="77"/>
        <v>0</v>
      </c>
      <c r="T309">
        <f t="shared" si="76"/>
        <v>0</v>
      </c>
      <c r="U309">
        <f t="shared" si="68"/>
        <v>0</v>
      </c>
      <c r="V309">
        <f t="shared" si="66"/>
        <v>0</v>
      </c>
      <c r="W309">
        <f t="shared" si="69"/>
        <v>0</v>
      </c>
      <c r="X309" t="s">
        <v>897</v>
      </c>
      <c r="Y309" t="s">
        <v>898</v>
      </c>
      <c r="Z309" s="3" t="s">
        <v>899</v>
      </c>
      <c r="AA309" t="s">
        <v>839</v>
      </c>
      <c r="AB309">
        <v>21</v>
      </c>
      <c r="AC309" s="8" t="s">
        <v>1071</v>
      </c>
      <c r="AD309" s="8" t="s">
        <v>1055</v>
      </c>
      <c r="AE309" s="8">
        <v>175</v>
      </c>
      <c r="AF309" s="8">
        <v>5</v>
      </c>
      <c r="AG309" s="8" t="s">
        <v>1035</v>
      </c>
      <c r="AH309" s="8" t="s">
        <v>1032</v>
      </c>
    </row>
    <row r="310" spans="1:35" x14ac:dyDescent="0.25">
      <c r="C310" t="s">
        <v>900</v>
      </c>
      <c r="D310" t="s">
        <v>12</v>
      </c>
      <c r="E310" t="s">
        <v>14</v>
      </c>
      <c r="F310">
        <v>2</v>
      </c>
      <c r="G310">
        <v>332</v>
      </c>
      <c r="H310">
        <v>602.29999999999995</v>
      </c>
      <c r="I310">
        <v>55.1</v>
      </c>
      <c r="L310">
        <f t="shared" si="71"/>
        <v>0</v>
      </c>
      <c r="M310">
        <f t="shared" si="67"/>
        <v>0</v>
      </c>
      <c r="N310">
        <f t="shared" si="72"/>
        <v>0</v>
      </c>
      <c r="O310">
        <f t="shared" si="73"/>
        <v>0</v>
      </c>
      <c r="P310">
        <f t="shared" si="74"/>
        <v>0</v>
      </c>
      <c r="Q310">
        <f t="shared" si="75"/>
        <v>0</v>
      </c>
      <c r="R310">
        <f t="shared" si="70"/>
        <v>0</v>
      </c>
      <c r="S310">
        <f t="shared" si="77"/>
        <v>0</v>
      </c>
      <c r="T310">
        <f t="shared" si="76"/>
        <v>0</v>
      </c>
      <c r="U310">
        <f t="shared" si="68"/>
        <v>0</v>
      </c>
      <c r="V310">
        <f t="shared" ref="V310:V373" si="78">IF(K310="Peritonitis", 1, 0)</f>
        <v>0</v>
      </c>
      <c r="W310">
        <f t="shared" si="69"/>
        <v>0</v>
      </c>
      <c r="X310" t="s">
        <v>901</v>
      </c>
      <c r="Y310" t="s">
        <v>898</v>
      </c>
      <c r="Z310" s="3" t="s">
        <v>902</v>
      </c>
      <c r="AA310" t="s">
        <v>839</v>
      </c>
      <c r="AB310">
        <v>21</v>
      </c>
      <c r="AC310" s="8" t="s">
        <v>1071</v>
      </c>
      <c r="AD310" s="8" t="s">
        <v>1055</v>
      </c>
      <c r="AE310" s="8">
        <v>175</v>
      </c>
      <c r="AF310" s="8">
        <v>5</v>
      </c>
      <c r="AG310" s="8" t="s">
        <v>1035</v>
      </c>
      <c r="AH310" s="8" t="s">
        <v>1032</v>
      </c>
    </row>
    <row r="311" spans="1:35" x14ac:dyDescent="0.25">
      <c r="C311" t="s">
        <v>903</v>
      </c>
      <c r="D311" t="s">
        <v>12</v>
      </c>
      <c r="E311" t="s">
        <v>14</v>
      </c>
      <c r="F311">
        <v>1</v>
      </c>
      <c r="G311">
        <v>319.5</v>
      </c>
      <c r="H311">
        <v>568.5</v>
      </c>
      <c r="I311">
        <v>56.2</v>
      </c>
      <c r="L311">
        <f t="shared" si="71"/>
        <v>0</v>
      </c>
      <c r="M311">
        <f t="shared" si="67"/>
        <v>0</v>
      </c>
      <c r="N311">
        <f t="shared" si="72"/>
        <v>0</v>
      </c>
      <c r="O311">
        <f t="shared" si="73"/>
        <v>0</v>
      </c>
      <c r="P311">
        <f t="shared" si="74"/>
        <v>0</v>
      </c>
      <c r="Q311">
        <f t="shared" si="75"/>
        <v>0</v>
      </c>
      <c r="R311">
        <f t="shared" si="70"/>
        <v>0</v>
      </c>
      <c r="S311">
        <f t="shared" si="77"/>
        <v>0</v>
      </c>
      <c r="T311">
        <f t="shared" si="76"/>
        <v>0</v>
      </c>
      <c r="U311">
        <f t="shared" si="68"/>
        <v>0</v>
      </c>
      <c r="V311">
        <f t="shared" si="78"/>
        <v>0</v>
      </c>
      <c r="W311">
        <f t="shared" si="69"/>
        <v>0</v>
      </c>
      <c r="X311" t="s">
        <v>904</v>
      </c>
      <c r="Y311" t="s">
        <v>905</v>
      </c>
      <c r="Z311" s="3" t="s">
        <v>906</v>
      </c>
      <c r="AA311" t="s">
        <v>805</v>
      </c>
      <c r="AB311">
        <v>21</v>
      </c>
      <c r="AC311" s="8" t="s">
        <v>1071</v>
      </c>
      <c r="AD311" s="8" t="s">
        <v>1055</v>
      </c>
      <c r="AE311" s="8">
        <v>175</v>
      </c>
      <c r="AF311" s="8">
        <v>5</v>
      </c>
      <c r="AG311" s="8" t="s">
        <v>1035</v>
      </c>
      <c r="AH311" s="8" t="s">
        <v>1032</v>
      </c>
    </row>
    <row r="312" spans="1:35" x14ac:dyDescent="0.25">
      <c r="C312" t="s">
        <v>907</v>
      </c>
      <c r="D312" t="s">
        <v>12</v>
      </c>
      <c r="E312" t="s">
        <v>14</v>
      </c>
      <c r="F312">
        <v>2</v>
      </c>
      <c r="G312">
        <v>348.5</v>
      </c>
      <c r="H312">
        <v>627.29999999999995</v>
      </c>
      <c r="I312">
        <v>55.6</v>
      </c>
      <c r="L312">
        <f t="shared" si="71"/>
        <v>0</v>
      </c>
      <c r="M312">
        <f t="shared" si="67"/>
        <v>0</v>
      </c>
      <c r="N312">
        <f t="shared" si="72"/>
        <v>0</v>
      </c>
      <c r="O312">
        <f t="shared" si="73"/>
        <v>0</v>
      </c>
      <c r="P312">
        <f t="shared" si="74"/>
        <v>0</v>
      </c>
      <c r="Q312">
        <f t="shared" si="75"/>
        <v>0</v>
      </c>
      <c r="R312">
        <f t="shared" si="70"/>
        <v>0</v>
      </c>
      <c r="S312">
        <f t="shared" si="77"/>
        <v>0</v>
      </c>
      <c r="T312">
        <f t="shared" si="76"/>
        <v>0</v>
      </c>
      <c r="U312">
        <f t="shared" si="68"/>
        <v>0</v>
      </c>
      <c r="V312">
        <f t="shared" si="78"/>
        <v>0</v>
      </c>
      <c r="W312">
        <f t="shared" si="69"/>
        <v>0</v>
      </c>
      <c r="X312" t="s">
        <v>908</v>
      </c>
      <c r="Y312" t="s">
        <v>909</v>
      </c>
      <c r="Z312" s="3" t="s">
        <v>910</v>
      </c>
      <c r="AA312" t="s">
        <v>828</v>
      </c>
      <c r="AB312">
        <v>21</v>
      </c>
      <c r="AC312" s="8" t="s">
        <v>1071</v>
      </c>
      <c r="AD312" s="8" t="s">
        <v>1055</v>
      </c>
      <c r="AE312" s="8">
        <v>175</v>
      </c>
      <c r="AF312" s="8">
        <v>5</v>
      </c>
      <c r="AG312" s="8" t="s">
        <v>1035</v>
      </c>
      <c r="AH312" s="8" t="s">
        <v>1032</v>
      </c>
    </row>
    <row r="313" spans="1:35" x14ac:dyDescent="0.25">
      <c r="C313" t="s">
        <v>911</v>
      </c>
      <c r="D313" t="s">
        <v>12</v>
      </c>
      <c r="E313" t="s">
        <v>14</v>
      </c>
      <c r="F313">
        <v>2</v>
      </c>
      <c r="G313">
        <v>318</v>
      </c>
      <c r="H313">
        <v>588.29999999999995</v>
      </c>
      <c r="I313">
        <v>54.1</v>
      </c>
      <c r="L313">
        <f t="shared" si="71"/>
        <v>0</v>
      </c>
      <c r="M313">
        <f t="shared" si="67"/>
        <v>0</v>
      </c>
      <c r="N313">
        <f t="shared" si="72"/>
        <v>0</v>
      </c>
      <c r="O313">
        <f t="shared" si="73"/>
        <v>0</v>
      </c>
      <c r="P313">
        <f t="shared" si="74"/>
        <v>0</v>
      </c>
      <c r="Q313">
        <f t="shared" si="75"/>
        <v>0</v>
      </c>
      <c r="R313">
        <f t="shared" si="70"/>
        <v>0</v>
      </c>
      <c r="S313">
        <f t="shared" si="77"/>
        <v>0</v>
      </c>
      <c r="T313">
        <f t="shared" si="76"/>
        <v>0</v>
      </c>
      <c r="U313">
        <f t="shared" si="68"/>
        <v>0</v>
      </c>
      <c r="V313">
        <f t="shared" si="78"/>
        <v>0</v>
      </c>
      <c r="W313">
        <f t="shared" si="69"/>
        <v>0</v>
      </c>
      <c r="X313" t="s">
        <v>912</v>
      </c>
      <c r="Y313" t="s">
        <v>909</v>
      </c>
      <c r="Z313" s="3" t="s">
        <v>910</v>
      </c>
      <c r="AA313" t="s">
        <v>839</v>
      </c>
      <c r="AB313">
        <v>21</v>
      </c>
      <c r="AC313" s="8" t="s">
        <v>1071</v>
      </c>
      <c r="AD313" s="8" t="s">
        <v>1055</v>
      </c>
      <c r="AE313" s="8">
        <v>175</v>
      </c>
      <c r="AF313" s="8">
        <v>5</v>
      </c>
      <c r="AG313" s="8" t="s">
        <v>1035</v>
      </c>
      <c r="AH313" s="8" t="s">
        <v>1032</v>
      </c>
    </row>
    <row r="314" spans="1:35" x14ac:dyDescent="0.25">
      <c r="C314" t="s">
        <v>913</v>
      </c>
      <c r="D314" t="s">
        <v>12</v>
      </c>
      <c r="E314" t="s">
        <v>14</v>
      </c>
      <c r="F314">
        <v>1</v>
      </c>
      <c r="G314">
        <v>312</v>
      </c>
      <c r="H314">
        <v>543.70000000000005</v>
      </c>
      <c r="I314">
        <v>57.4</v>
      </c>
      <c r="L314">
        <f t="shared" si="71"/>
        <v>0</v>
      </c>
      <c r="M314">
        <f t="shared" si="67"/>
        <v>0</v>
      </c>
      <c r="N314">
        <f t="shared" si="72"/>
        <v>0</v>
      </c>
      <c r="O314">
        <f t="shared" si="73"/>
        <v>0</v>
      </c>
      <c r="P314">
        <f t="shared" si="74"/>
        <v>0</v>
      </c>
      <c r="Q314">
        <f t="shared" si="75"/>
        <v>0</v>
      </c>
      <c r="R314">
        <f t="shared" si="70"/>
        <v>0</v>
      </c>
      <c r="S314">
        <f t="shared" si="77"/>
        <v>0</v>
      </c>
      <c r="T314">
        <f t="shared" si="76"/>
        <v>0</v>
      </c>
      <c r="U314">
        <f t="shared" si="68"/>
        <v>0</v>
      </c>
      <c r="V314">
        <f t="shared" si="78"/>
        <v>0</v>
      </c>
      <c r="W314">
        <f t="shared" si="69"/>
        <v>0</v>
      </c>
      <c r="X314" t="s">
        <v>914</v>
      </c>
      <c r="Y314" t="s">
        <v>915</v>
      </c>
      <c r="Z314" s="3" t="s">
        <v>916</v>
      </c>
      <c r="AA314" t="s">
        <v>805</v>
      </c>
      <c r="AB314">
        <v>21</v>
      </c>
      <c r="AC314" s="8" t="s">
        <v>1071</v>
      </c>
      <c r="AD314" s="8" t="s">
        <v>1055</v>
      </c>
      <c r="AE314" s="8">
        <v>175</v>
      </c>
      <c r="AF314" s="8">
        <v>5</v>
      </c>
      <c r="AG314" s="8" t="s">
        <v>1035</v>
      </c>
      <c r="AH314" s="8" t="s">
        <v>1032</v>
      </c>
    </row>
    <row r="315" spans="1:35" x14ac:dyDescent="0.25">
      <c r="C315" t="s">
        <v>917</v>
      </c>
      <c r="D315" t="s">
        <v>12</v>
      </c>
      <c r="E315" t="s">
        <v>14</v>
      </c>
      <c r="F315">
        <v>2</v>
      </c>
      <c r="G315">
        <v>300</v>
      </c>
      <c r="H315">
        <v>544.29999999999995</v>
      </c>
      <c r="I315">
        <v>55.1</v>
      </c>
      <c r="L315">
        <f t="shared" si="71"/>
        <v>0</v>
      </c>
      <c r="M315">
        <f t="shared" si="67"/>
        <v>0</v>
      </c>
      <c r="N315">
        <f t="shared" si="72"/>
        <v>0</v>
      </c>
      <c r="O315">
        <f t="shared" si="73"/>
        <v>0</v>
      </c>
      <c r="P315">
        <f t="shared" si="74"/>
        <v>0</v>
      </c>
      <c r="Q315">
        <f t="shared" si="75"/>
        <v>0</v>
      </c>
      <c r="R315">
        <f t="shared" si="70"/>
        <v>0</v>
      </c>
      <c r="S315">
        <f t="shared" si="77"/>
        <v>0</v>
      </c>
      <c r="T315">
        <f t="shared" si="76"/>
        <v>0</v>
      </c>
      <c r="U315">
        <f t="shared" si="68"/>
        <v>0</v>
      </c>
      <c r="V315">
        <f t="shared" si="78"/>
        <v>0</v>
      </c>
      <c r="W315">
        <f t="shared" si="69"/>
        <v>0</v>
      </c>
      <c r="X315" t="s">
        <v>918</v>
      </c>
      <c r="Y315" t="s">
        <v>919</v>
      </c>
      <c r="Z315" s="3" t="s">
        <v>920</v>
      </c>
      <c r="AA315" t="s">
        <v>805</v>
      </c>
      <c r="AB315">
        <v>21</v>
      </c>
      <c r="AC315" s="8" t="s">
        <v>1071</v>
      </c>
      <c r="AD315" s="8" t="s">
        <v>1055</v>
      </c>
      <c r="AE315" s="8">
        <v>175</v>
      </c>
      <c r="AF315" s="8">
        <v>5</v>
      </c>
      <c r="AG315" s="8" t="s">
        <v>1035</v>
      </c>
      <c r="AH315" s="8" t="s">
        <v>1032</v>
      </c>
    </row>
    <row r="316" spans="1:35" x14ac:dyDescent="0.25">
      <c r="C316" t="s">
        <v>921</v>
      </c>
      <c r="D316" t="s">
        <v>12</v>
      </c>
      <c r="E316" t="s">
        <v>14</v>
      </c>
      <c r="F316">
        <v>2</v>
      </c>
      <c r="G316">
        <v>345</v>
      </c>
      <c r="H316">
        <v>605.20000000000005</v>
      </c>
      <c r="I316">
        <v>57</v>
      </c>
      <c r="L316">
        <f t="shared" si="71"/>
        <v>0</v>
      </c>
      <c r="M316">
        <f t="shared" si="67"/>
        <v>0</v>
      </c>
      <c r="N316">
        <f t="shared" si="72"/>
        <v>0</v>
      </c>
      <c r="O316">
        <f t="shared" si="73"/>
        <v>0</v>
      </c>
      <c r="P316">
        <f t="shared" si="74"/>
        <v>0</v>
      </c>
      <c r="Q316">
        <f t="shared" si="75"/>
        <v>0</v>
      </c>
      <c r="R316">
        <f t="shared" si="70"/>
        <v>0</v>
      </c>
      <c r="S316">
        <f t="shared" si="77"/>
        <v>0</v>
      </c>
      <c r="T316">
        <f t="shared" si="76"/>
        <v>0</v>
      </c>
      <c r="U316">
        <f t="shared" si="68"/>
        <v>0</v>
      </c>
      <c r="V316">
        <f t="shared" si="78"/>
        <v>0</v>
      </c>
      <c r="W316">
        <f t="shared" si="69"/>
        <v>0</v>
      </c>
      <c r="X316" t="s">
        <v>922</v>
      </c>
      <c r="Y316" t="s">
        <v>923</v>
      </c>
      <c r="Z316" s="3" t="s">
        <v>924</v>
      </c>
      <c r="AA316" t="s">
        <v>814</v>
      </c>
      <c r="AB316">
        <v>21</v>
      </c>
      <c r="AC316" s="8" t="s">
        <v>1071</v>
      </c>
      <c r="AD316" s="8" t="s">
        <v>1055</v>
      </c>
      <c r="AE316" s="8">
        <v>175</v>
      </c>
      <c r="AF316" s="8">
        <v>5</v>
      </c>
      <c r="AG316" s="8" t="s">
        <v>1035</v>
      </c>
      <c r="AH316" s="8" t="s">
        <v>1032</v>
      </c>
    </row>
    <row r="317" spans="1:35" x14ac:dyDescent="0.25">
      <c r="A317" s="2"/>
      <c r="B317" s="2"/>
      <c r="C317" s="2" t="s">
        <v>925</v>
      </c>
      <c r="D317" s="2" t="s">
        <v>12</v>
      </c>
      <c r="E317" s="2" t="s">
        <v>14</v>
      </c>
      <c r="F317" s="2">
        <v>2</v>
      </c>
      <c r="G317" s="2">
        <v>315.5</v>
      </c>
      <c r="H317" s="2">
        <v>550.5</v>
      </c>
      <c r="I317" s="2">
        <v>57.3</v>
      </c>
      <c r="J317" s="2"/>
      <c r="K317" s="2"/>
      <c r="L317" s="2">
        <f t="shared" si="71"/>
        <v>0</v>
      </c>
      <c r="M317" s="2">
        <f t="shared" si="67"/>
        <v>0</v>
      </c>
      <c r="N317" s="2">
        <f t="shared" si="72"/>
        <v>0</v>
      </c>
      <c r="O317" s="2">
        <f t="shared" si="73"/>
        <v>0</v>
      </c>
      <c r="P317" s="2">
        <f t="shared" si="74"/>
        <v>0</v>
      </c>
      <c r="Q317" s="2">
        <f t="shared" si="75"/>
        <v>0</v>
      </c>
      <c r="R317" s="2">
        <f t="shared" si="70"/>
        <v>0</v>
      </c>
      <c r="S317" s="2">
        <f t="shared" si="77"/>
        <v>0</v>
      </c>
      <c r="T317" s="2">
        <f t="shared" si="76"/>
        <v>0</v>
      </c>
      <c r="U317" s="2">
        <f t="shared" si="68"/>
        <v>0</v>
      </c>
      <c r="V317" s="2">
        <f t="shared" si="78"/>
        <v>0</v>
      </c>
      <c r="W317" s="2">
        <f t="shared" si="69"/>
        <v>0</v>
      </c>
      <c r="X317" s="2" t="s">
        <v>926</v>
      </c>
      <c r="Y317" s="2" t="s">
        <v>927</v>
      </c>
      <c r="Z317" s="6" t="s">
        <v>924</v>
      </c>
      <c r="AA317" s="2" t="s">
        <v>865</v>
      </c>
      <c r="AB317" s="2">
        <v>21</v>
      </c>
      <c r="AC317" s="9" t="s">
        <v>1071</v>
      </c>
      <c r="AD317" s="9" t="s">
        <v>1055</v>
      </c>
      <c r="AE317" s="9">
        <v>175</v>
      </c>
      <c r="AF317" s="9">
        <v>5</v>
      </c>
      <c r="AG317" s="9" t="s">
        <v>1035</v>
      </c>
      <c r="AH317" s="9" t="s">
        <v>1032</v>
      </c>
      <c r="AI317" s="2"/>
    </row>
    <row r="318" spans="1:35" ht="15.75" x14ac:dyDescent="0.25">
      <c r="A318" s="7">
        <v>45253</v>
      </c>
      <c r="B318" t="s">
        <v>928</v>
      </c>
      <c r="C318" t="s">
        <v>929</v>
      </c>
      <c r="D318" t="s">
        <v>12</v>
      </c>
      <c r="E318" t="s">
        <v>14</v>
      </c>
      <c r="F318">
        <v>2</v>
      </c>
      <c r="G318">
        <v>350.5</v>
      </c>
      <c r="H318">
        <v>645.29999999999995</v>
      </c>
      <c r="I318">
        <v>54.3</v>
      </c>
      <c r="L318">
        <f t="shared" si="71"/>
        <v>0</v>
      </c>
      <c r="M318">
        <f t="shared" si="67"/>
        <v>0</v>
      </c>
      <c r="N318">
        <f t="shared" si="72"/>
        <v>0</v>
      </c>
      <c r="O318">
        <f t="shared" si="73"/>
        <v>0</v>
      </c>
      <c r="P318">
        <f t="shared" si="74"/>
        <v>0</v>
      </c>
      <c r="Q318">
        <f t="shared" si="75"/>
        <v>0</v>
      </c>
      <c r="R318">
        <f t="shared" si="70"/>
        <v>0</v>
      </c>
      <c r="S318">
        <f t="shared" si="77"/>
        <v>0</v>
      </c>
      <c r="T318">
        <f t="shared" si="76"/>
        <v>0</v>
      </c>
      <c r="U318">
        <f t="shared" si="68"/>
        <v>0</v>
      </c>
      <c r="V318">
        <f t="shared" si="78"/>
        <v>0</v>
      </c>
      <c r="W318">
        <f t="shared" si="69"/>
        <v>0</v>
      </c>
      <c r="X318" t="s">
        <v>930</v>
      </c>
      <c r="Y318" t="s">
        <v>827</v>
      </c>
      <c r="Z318" s="3" t="s">
        <v>705</v>
      </c>
      <c r="AA318" t="s">
        <v>931</v>
      </c>
      <c r="AB318">
        <f>(24-19.25)+10.25</f>
        <v>15</v>
      </c>
      <c r="AC318" s="8" t="s">
        <v>1036</v>
      </c>
      <c r="AD318" s="8" t="s">
        <v>1056</v>
      </c>
      <c r="AE318" s="8">
        <v>172</v>
      </c>
      <c r="AF318" s="8">
        <v>7.5</v>
      </c>
      <c r="AG318" s="8" t="s">
        <v>1036</v>
      </c>
      <c r="AH318" s="8" t="s">
        <v>1032</v>
      </c>
    </row>
    <row r="319" spans="1:35" x14ac:dyDescent="0.25">
      <c r="C319" t="s">
        <v>932</v>
      </c>
      <c r="D319" t="s">
        <v>12</v>
      </c>
      <c r="E319" t="s">
        <v>14</v>
      </c>
      <c r="F319">
        <v>2</v>
      </c>
      <c r="G319">
        <v>335.5</v>
      </c>
      <c r="H319">
        <v>595.79999999999995</v>
      </c>
      <c r="I319">
        <v>56.3</v>
      </c>
      <c r="L319">
        <f t="shared" si="71"/>
        <v>0</v>
      </c>
      <c r="M319">
        <f t="shared" si="67"/>
        <v>0</v>
      </c>
      <c r="N319">
        <f t="shared" si="72"/>
        <v>0</v>
      </c>
      <c r="O319">
        <f t="shared" si="73"/>
        <v>0</v>
      </c>
      <c r="P319">
        <f t="shared" si="74"/>
        <v>0</v>
      </c>
      <c r="Q319">
        <f t="shared" si="75"/>
        <v>0</v>
      </c>
      <c r="R319">
        <f t="shared" si="70"/>
        <v>0</v>
      </c>
      <c r="S319">
        <f t="shared" si="77"/>
        <v>0</v>
      </c>
      <c r="T319">
        <f t="shared" si="76"/>
        <v>0</v>
      </c>
      <c r="U319">
        <f t="shared" si="68"/>
        <v>0</v>
      </c>
      <c r="V319">
        <f t="shared" si="78"/>
        <v>0</v>
      </c>
      <c r="W319">
        <f t="shared" si="69"/>
        <v>0</v>
      </c>
      <c r="X319" t="s">
        <v>933</v>
      </c>
      <c r="Y319" t="s">
        <v>934</v>
      </c>
      <c r="Z319" s="3" t="s">
        <v>705</v>
      </c>
      <c r="AA319" t="s">
        <v>931</v>
      </c>
      <c r="AB319">
        <v>15</v>
      </c>
      <c r="AC319" s="8" t="s">
        <v>1036</v>
      </c>
      <c r="AD319" s="8" t="s">
        <v>1056</v>
      </c>
      <c r="AE319" s="8">
        <v>172</v>
      </c>
      <c r="AF319" s="8">
        <v>7.5</v>
      </c>
      <c r="AG319" s="8" t="s">
        <v>1036</v>
      </c>
      <c r="AH319" s="8" t="s">
        <v>1032</v>
      </c>
    </row>
    <row r="320" spans="1:35" x14ac:dyDescent="0.25">
      <c r="C320" t="s">
        <v>935</v>
      </c>
      <c r="D320" t="s">
        <v>12</v>
      </c>
      <c r="E320" t="s">
        <v>14</v>
      </c>
      <c r="F320">
        <v>2</v>
      </c>
      <c r="G320">
        <v>345.5</v>
      </c>
      <c r="H320">
        <v>582.79999999999995</v>
      </c>
      <c r="I320">
        <v>59.3</v>
      </c>
      <c r="L320">
        <f t="shared" si="71"/>
        <v>0</v>
      </c>
      <c r="M320">
        <f t="shared" si="67"/>
        <v>0</v>
      </c>
      <c r="N320">
        <f t="shared" si="72"/>
        <v>0</v>
      </c>
      <c r="O320">
        <f t="shared" si="73"/>
        <v>0</v>
      </c>
      <c r="P320">
        <f t="shared" si="74"/>
        <v>0</v>
      </c>
      <c r="Q320">
        <f t="shared" si="75"/>
        <v>0</v>
      </c>
      <c r="R320">
        <f t="shared" si="70"/>
        <v>0</v>
      </c>
      <c r="S320">
        <f t="shared" si="77"/>
        <v>0</v>
      </c>
      <c r="T320">
        <f t="shared" si="76"/>
        <v>0</v>
      </c>
      <c r="U320">
        <f t="shared" si="68"/>
        <v>0</v>
      </c>
      <c r="V320">
        <f t="shared" si="78"/>
        <v>0</v>
      </c>
      <c r="W320">
        <f t="shared" si="69"/>
        <v>0</v>
      </c>
      <c r="X320" t="s">
        <v>936</v>
      </c>
      <c r="Y320" t="s">
        <v>833</v>
      </c>
      <c r="Z320" s="3" t="s">
        <v>709</v>
      </c>
      <c r="AA320" t="s">
        <v>937</v>
      </c>
      <c r="AB320">
        <v>15</v>
      </c>
      <c r="AC320" s="8" t="s">
        <v>1036</v>
      </c>
      <c r="AD320" s="8" t="s">
        <v>1056</v>
      </c>
      <c r="AE320" s="8">
        <v>172</v>
      </c>
      <c r="AF320" s="8">
        <v>7.5</v>
      </c>
      <c r="AG320" s="8" t="s">
        <v>1036</v>
      </c>
      <c r="AH320" s="8" t="s">
        <v>1032</v>
      </c>
    </row>
    <row r="321" spans="3:34" x14ac:dyDescent="0.25">
      <c r="C321" t="s">
        <v>938</v>
      </c>
      <c r="D321" t="s">
        <v>12</v>
      </c>
      <c r="E321" t="s">
        <v>14</v>
      </c>
      <c r="F321">
        <v>2</v>
      </c>
      <c r="G321">
        <v>354.5</v>
      </c>
      <c r="H321">
        <v>631.20000000000005</v>
      </c>
      <c r="I321">
        <v>56.2</v>
      </c>
      <c r="L321">
        <f t="shared" si="71"/>
        <v>0</v>
      </c>
      <c r="M321">
        <f t="shared" si="67"/>
        <v>0</v>
      </c>
      <c r="N321">
        <f t="shared" si="72"/>
        <v>0</v>
      </c>
      <c r="O321">
        <f t="shared" si="73"/>
        <v>0</v>
      </c>
      <c r="P321">
        <f t="shared" si="74"/>
        <v>0</v>
      </c>
      <c r="Q321">
        <f t="shared" si="75"/>
        <v>0</v>
      </c>
      <c r="R321">
        <f t="shared" si="70"/>
        <v>0</v>
      </c>
      <c r="S321">
        <f t="shared" si="77"/>
        <v>0</v>
      </c>
      <c r="T321">
        <f t="shared" si="76"/>
        <v>0</v>
      </c>
      <c r="U321">
        <f t="shared" si="68"/>
        <v>0</v>
      </c>
      <c r="V321">
        <f t="shared" si="78"/>
        <v>0</v>
      </c>
      <c r="W321">
        <f t="shared" si="69"/>
        <v>0</v>
      </c>
      <c r="X321" t="s">
        <v>939</v>
      </c>
      <c r="Y321" t="s">
        <v>838</v>
      </c>
      <c r="Z321" s="3" t="s">
        <v>722</v>
      </c>
      <c r="AA321" t="s">
        <v>940</v>
      </c>
      <c r="AB321">
        <v>15</v>
      </c>
      <c r="AC321" s="8" t="s">
        <v>1036</v>
      </c>
      <c r="AD321" s="8" t="s">
        <v>1056</v>
      </c>
      <c r="AE321" s="8">
        <v>172</v>
      </c>
      <c r="AF321" s="8">
        <v>7.5</v>
      </c>
      <c r="AG321" s="8" t="s">
        <v>1036</v>
      </c>
      <c r="AH321" s="8" t="s">
        <v>1032</v>
      </c>
    </row>
    <row r="322" spans="3:34" x14ac:dyDescent="0.25">
      <c r="C322" t="s">
        <v>941</v>
      </c>
      <c r="D322" t="s">
        <v>12</v>
      </c>
      <c r="E322" t="s">
        <v>14</v>
      </c>
      <c r="F322">
        <v>2</v>
      </c>
      <c r="G322">
        <v>320</v>
      </c>
      <c r="H322">
        <v>576</v>
      </c>
      <c r="I322">
        <v>55.6</v>
      </c>
      <c r="L322">
        <f t="shared" si="71"/>
        <v>0</v>
      </c>
      <c r="M322">
        <f t="shared" ref="M322:M385" si="79">IF(K322="Arthritis", 1, 0)</f>
        <v>0</v>
      </c>
      <c r="N322">
        <f t="shared" si="72"/>
        <v>0</v>
      </c>
      <c r="O322">
        <f t="shared" si="73"/>
        <v>0</v>
      </c>
      <c r="P322">
        <f t="shared" si="74"/>
        <v>0</v>
      </c>
      <c r="Q322">
        <f t="shared" si="75"/>
        <v>0</v>
      </c>
      <c r="R322">
        <f t="shared" si="70"/>
        <v>0</v>
      </c>
      <c r="S322">
        <f t="shared" si="77"/>
        <v>0</v>
      </c>
      <c r="T322">
        <f t="shared" si="76"/>
        <v>0</v>
      </c>
      <c r="U322">
        <f t="shared" si="68"/>
        <v>0</v>
      </c>
      <c r="V322">
        <f t="shared" si="78"/>
        <v>0</v>
      </c>
      <c r="W322">
        <f t="shared" si="69"/>
        <v>0</v>
      </c>
      <c r="X322" t="s">
        <v>942</v>
      </c>
      <c r="Y322" t="s">
        <v>838</v>
      </c>
      <c r="Z322" s="3" t="s">
        <v>722</v>
      </c>
      <c r="AA322" t="s">
        <v>943</v>
      </c>
      <c r="AB322">
        <v>15</v>
      </c>
      <c r="AC322" s="8" t="s">
        <v>1036</v>
      </c>
      <c r="AD322" s="8" t="s">
        <v>1056</v>
      </c>
      <c r="AE322" s="8">
        <v>172</v>
      </c>
      <c r="AF322" s="8">
        <v>7.5</v>
      </c>
      <c r="AG322" s="8" t="s">
        <v>1036</v>
      </c>
      <c r="AH322" s="8" t="s">
        <v>1032</v>
      </c>
    </row>
    <row r="323" spans="3:34" x14ac:dyDescent="0.25">
      <c r="C323" t="s">
        <v>944</v>
      </c>
      <c r="D323" t="s">
        <v>12</v>
      </c>
      <c r="E323" t="s">
        <v>14</v>
      </c>
      <c r="F323">
        <v>2</v>
      </c>
      <c r="G323">
        <v>322.5</v>
      </c>
      <c r="H323">
        <v>583.29999999999995</v>
      </c>
      <c r="I323">
        <v>55.3</v>
      </c>
      <c r="L323">
        <f t="shared" si="71"/>
        <v>0</v>
      </c>
      <c r="M323">
        <f t="shared" si="79"/>
        <v>0</v>
      </c>
      <c r="N323">
        <f t="shared" si="72"/>
        <v>0</v>
      </c>
      <c r="O323">
        <f t="shared" si="73"/>
        <v>0</v>
      </c>
      <c r="P323">
        <f t="shared" si="74"/>
        <v>0</v>
      </c>
      <c r="Q323">
        <f t="shared" si="75"/>
        <v>0</v>
      </c>
      <c r="R323">
        <f t="shared" si="70"/>
        <v>0</v>
      </c>
      <c r="S323">
        <f t="shared" si="77"/>
        <v>0</v>
      </c>
      <c r="T323">
        <f t="shared" si="76"/>
        <v>0</v>
      </c>
      <c r="U323">
        <f t="shared" si="68"/>
        <v>0</v>
      </c>
      <c r="V323">
        <f t="shared" si="78"/>
        <v>0</v>
      </c>
      <c r="W323">
        <f t="shared" si="69"/>
        <v>0</v>
      </c>
      <c r="X323" t="s">
        <v>945</v>
      </c>
      <c r="Y323" t="s">
        <v>195</v>
      </c>
      <c r="Z323" s="3" t="s">
        <v>726</v>
      </c>
      <c r="AA323" t="s">
        <v>943</v>
      </c>
      <c r="AB323">
        <v>15</v>
      </c>
      <c r="AC323" s="8" t="s">
        <v>1036</v>
      </c>
      <c r="AD323" s="8" t="s">
        <v>1056</v>
      </c>
      <c r="AE323" s="8">
        <v>172</v>
      </c>
      <c r="AF323" s="8">
        <v>7.5</v>
      </c>
      <c r="AG323" s="8" t="s">
        <v>1036</v>
      </c>
      <c r="AH323" s="8" t="s">
        <v>1032</v>
      </c>
    </row>
    <row r="324" spans="3:34" x14ac:dyDescent="0.25">
      <c r="C324" t="s">
        <v>946</v>
      </c>
      <c r="D324" t="s">
        <v>12</v>
      </c>
      <c r="E324" t="s">
        <v>14</v>
      </c>
      <c r="F324">
        <v>2</v>
      </c>
      <c r="G324">
        <v>359.5</v>
      </c>
      <c r="H324">
        <v>649.5</v>
      </c>
      <c r="I324">
        <v>55.4</v>
      </c>
      <c r="L324">
        <f t="shared" si="71"/>
        <v>0</v>
      </c>
      <c r="M324">
        <f t="shared" si="79"/>
        <v>0</v>
      </c>
      <c r="N324">
        <f t="shared" si="72"/>
        <v>0</v>
      </c>
      <c r="O324">
        <f t="shared" si="73"/>
        <v>0</v>
      </c>
      <c r="P324">
        <f t="shared" si="74"/>
        <v>0</v>
      </c>
      <c r="Q324">
        <f t="shared" si="75"/>
        <v>0</v>
      </c>
      <c r="R324">
        <f t="shared" si="70"/>
        <v>0</v>
      </c>
      <c r="S324">
        <f t="shared" si="77"/>
        <v>0</v>
      </c>
      <c r="T324">
        <f t="shared" si="76"/>
        <v>0</v>
      </c>
      <c r="U324">
        <f t="shared" si="68"/>
        <v>0</v>
      </c>
      <c r="V324">
        <f t="shared" si="78"/>
        <v>0</v>
      </c>
      <c r="W324">
        <f t="shared" si="69"/>
        <v>0</v>
      </c>
      <c r="X324" t="s">
        <v>947</v>
      </c>
      <c r="Y324" t="s">
        <v>200</v>
      </c>
      <c r="Z324" s="3" t="s">
        <v>729</v>
      </c>
      <c r="AA324" t="s">
        <v>931</v>
      </c>
      <c r="AB324">
        <v>15</v>
      </c>
      <c r="AC324" s="8" t="s">
        <v>1036</v>
      </c>
      <c r="AD324" s="8" t="s">
        <v>1056</v>
      </c>
      <c r="AE324" s="8">
        <v>172</v>
      </c>
      <c r="AF324" s="8">
        <v>7.5</v>
      </c>
      <c r="AG324" s="8" t="s">
        <v>1036</v>
      </c>
      <c r="AH324" s="8" t="s">
        <v>1032</v>
      </c>
    </row>
    <row r="325" spans="3:34" x14ac:dyDescent="0.25">
      <c r="C325" t="s">
        <v>193</v>
      </c>
      <c r="D325" t="s">
        <v>12</v>
      </c>
      <c r="E325" t="s">
        <v>14</v>
      </c>
      <c r="F325">
        <v>2</v>
      </c>
      <c r="G325">
        <v>324</v>
      </c>
      <c r="H325">
        <v>593.20000000000005</v>
      </c>
      <c r="I325">
        <v>54.6</v>
      </c>
      <c r="L325">
        <f t="shared" si="71"/>
        <v>0</v>
      </c>
      <c r="M325">
        <f t="shared" si="79"/>
        <v>0</v>
      </c>
      <c r="N325">
        <f t="shared" si="72"/>
        <v>0</v>
      </c>
      <c r="O325">
        <f t="shared" si="73"/>
        <v>0</v>
      </c>
      <c r="P325">
        <f t="shared" si="74"/>
        <v>0</v>
      </c>
      <c r="Q325">
        <f t="shared" si="75"/>
        <v>0</v>
      </c>
      <c r="R325">
        <f t="shared" si="70"/>
        <v>0</v>
      </c>
      <c r="S325">
        <f t="shared" si="77"/>
        <v>0</v>
      </c>
      <c r="T325">
        <f t="shared" si="76"/>
        <v>0</v>
      </c>
      <c r="U325">
        <f t="shared" si="68"/>
        <v>0</v>
      </c>
      <c r="V325">
        <f t="shared" si="78"/>
        <v>0</v>
      </c>
      <c r="W325">
        <f t="shared" si="69"/>
        <v>0</v>
      </c>
      <c r="X325" t="s">
        <v>948</v>
      </c>
      <c r="Y325" t="s">
        <v>204</v>
      </c>
      <c r="Z325" s="3" t="s">
        <v>731</v>
      </c>
      <c r="AA325" t="s">
        <v>949</v>
      </c>
      <c r="AB325">
        <v>15</v>
      </c>
      <c r="AC325" s="8" t="s">
        <v>1036</v>
      </c>
      <c r="AD325" s="8" t="s">
        <v>1056</v>
      </c>
      <c r="AE325" s="8">
        <v>172</v>
      </c>
      <c r="AF325" s="8">
        <v>7.5</v>
      </c>
      <c r="AG325" s="8" t="s">
        <v>1036</v>
      </c>
      <c r="AH325" s="8" t="s">
        <v>1032</v>
      </c>
    </row>
    <row r="326" spans="3:34" x14ac:dyDescent="0.25">
      <c r="C326" t="s">
        <v>198</v>
      </c>
      <c r="D326" t="s">
        <v>12</v>
      </c>
      <c r="E326" t="s">
        <v>14</v>
      </c>
      <c r="F326">
        <v>1</v>
      </c>
      <c r="G326">
        <v>332</v>
      </c>
      <c r="H326">
        <v>595.29999999999995</v>
      </c>
      <c r="I326">
        <v>55.8</v>
      </c>
      <c r="L326">
        <f t="shared" si="71"/>
        <v>0</v>
      </c>
      <c r="M326">
        <f t="shared" si="79"/>
        <v>0</v>
      </c>
      <c r="N326">
        <f t="shared" si="72"/>
        <v>0</v>
      </c>
      <c r="O326">
        <f t="shared" si="73"/>
        <v>0</v>
      </c>
      <c r="P326">
        <f t="shared" si="74"/>
        <v>0</v>
      </c>
      <c r="Q326">
        <f t="shared" si="75"/>
        <v>0</v>
      </c>
      <c r="R326">
        <f t="shared" si="70"/>
        <v>0</v>
      </c>
      <c r="S326">
        <f t="shared" si="77"/>
        <v>0</v>
      </c>
      <c r="T326">
        <f t="shared" si="76"/>
        <v>0</v>
      </c>
      <c r="U326">
        <f t="shared" si="68"/>
        <v>0</v>
      </c>
      <c r="V326">
        <f t="shared" si="78"/>
        <v>0</v>
      </c>
      <c r="W326">
        <f t="shared" si="69"/>
        <v>0</v>
      </c>
      <c r="X326" t="s">
        <v>950</v>
      </c>
      <c r="Y326" t="s">
        <v>208</v>
      </c>
      <c r="Z326" s="3" t="s">
        <v>201</v>
      </c>
      <c r="AA326" t="s">
        <v>949</v>
      </c>
      <c r="AB326">
        <v>15</v>
      </c>
      <c r="AC326" s="8" t="s">
        <v>1036</v>
      </c>
      <c r="AD326" s="8" t="s">
        <v>1056</v>
      </c>
      <c r="AE326" s="8">
        <v>172</v>
      </c>
      <c r="AF326" s="8">
        <v>7.5</v>
      </c>
      <c r="AG326" s="8" t="s">
        <v>1036</v>
      </c>
      <c r="AH326" s="8" t="s">
        <v>1032</v>
      </c>
    </row>
    <row r="327" spans="3:34" x14ac:dyDescent="0.25">
      <c r="C327" t="s">
        <v>202</v>
      </c>
      <c r="D327" t="s">
        <v>12</v>
      </c>
      <c r="E327" t="s">
        <v>14</v>
      </c>
      <c r="F327">
        <v>2</v>
      </c>
      <c r="G327">
        <v>286</v>
      </c>
      <c r="H327">
        <v>567.6</v>
      </c>
      <c r="I327">
        <v>50.4</v>
      </c>
      <c r="L327">
        <f t="shared" si="71"/>
        <v>0</v>
      </c>
      <c r="M327">
        <f t="shared" si="79"/>
        <v>0</v>
      </c>
      <c r="N327">
        <f t="shared" si="72"/>
        <v>0</v>
      </c>
      <c r="O327">
        <f t="shared" si="73"/>
        <v>0</v>
      </c>
      <c r="P327">
        <f t="shared" si="74"/>
        <v>0</v>
      </c>
      <c r="Q327">
        <f t="shared" si="75"/>
        <v>0</v>
      </c>
      <c r="R327">
        <f t="shared" si="70"/>
        <v>0</v>
      </c>
      <c r="S327">
        <f t="shared" si="77"/>
        <v>0</v>
      </c>
      <c r="T327">
        <f t="shared" si="76"/>
        <v>0</v>
      </c>
      <c r="U327">
        <f t="shared" si="68"/>
        <v>0</v>
      </c>
      <c r="V327">
        <f t="shared" si="78"/>
        <v>0</v>
      </c>
      <c r="W327">
        <f t="shared" si="69"/>
        <v>0</v>
      </c>
      <c r="X327" t="s">
        <v>951</v>
      </c>
      <c r="Y327" t="s">
        <v>211</v>
      </c>
      <c r="Z327" s="3" t="s">
        <v>743</v>
      </c>
      <c r="AA327" t="s">
        <v>940</v>
      </c>
      <c r="AB327">
        <v>15</v>
      </c>
      <c r="AC327" s="8" t="s">
        <v>1036</v>
      </c>
      <c r="AD327" s="8" t="s">
        <v>1056</v>
      </c>
      <c r="AE327" s="8">
        <v>172</v>
      </c>
      <c r="AF327" s="8">
        <v>7.5</v>
      </c>
      <c r="AG327" s="8" t="s">
        <v>1036</v>
      </c>
      <c r="AH327" s="8" t="s">
        <v>1032</v>
      </c>
    </row>
    <row r="328" spans="3:34" x14ac:dyDescent="0.25">
      <c r="C328" t="s">
        <v>206</v>
      </c>
      <c r="D328" t="s">
        <v>12</v>
      </c>
      <c r="E328" t="s">
        <v>14</v>
      </c>
      <c r="F328">
        <v>2</v>
      </c>
      <c r="G328">
        <v>329</v>
      </c>
      <c r="H328">
        <v>606.70000000000005</v>
      </c>
      <c r="I328">
        <v>54.2</v>
      </c>
      <c r="L328">
        <f t="shared" si="71"/>
        <v>0</v>
      </c>
      <c r="M328">
        <f t="shared" si="79"/>
        <v>0</v>
      </c>
      <c r="N328">
        <f t="shared" si="72"/>
        <v>0</v>
      </c>
      <c r="O328">
        <f t="shared" si="73"/>
        <v>0</v>
      </c>
      <c r="P328">
        <f t="shared" si="74"/>
        <v>0</v>
      </c>
      <c r="Q328">
        <f t="shared" si="75"/>
        <v>0</v>
      </c>
      <c r="R328">
        <f t="shared" si="70"/>
        <v>0</v>
      </c>
      <c r="S328">
        <f t="shared" si="77"/>
        <v>0</v>
      </c>
      <c r="T328">
        <f t="shared" si="76"/>
        <v>0</v>
      </c>
      <c r="U328">
        <f t="shared" si="68"/>
        <v>0</v>
      </c>
      <c r="V328">
        <f t="shared" si="78"/>
        <v>0</v>
      </c>
      <c r="W328">
        <f t="shared" si="69"/>
        <v>0</v>
      </c>
      <c r="X328" t="s">
        <v>952</v>
      </c>
      <c r="Y328" t="s">
        <v>216</v>
      </c>
      <c r="Z328" s="3" t="s">
        <v>743</v>
      </c>
      <c r="AA328" t="s">
        <v>940</v>
      </c>
      <c r="AB328">
        <v>15</v>
      </c>
      <c r="AC328" s="8" t="s">
        <v>1036</v>
      </c>
      <c r="AD328" s="8" t="s">
        <v>1056</v>
      </c>
      <c r="AE328" s="8">
        <v>172</v>
      </c>
      <c r="AF328" s="8">
        <v>7.5</v>
      </c>
      <c r="AG328" s="8" t="s">
        <v>1036</v>
      </c>
      <c r="AH328" s="8" t="s">
        <v>1032</v>
      </c>
    </row>
    <row r="329" spans="3:34" x14ac:dyDescent="0.25">
      <c r="C329" t="s">
        <v>209</v>
      </c>
      <c r="D329" t="s">
        <v>12</v>
      </c>
      <c r="E329" t="s">
        <v>14</v>
      </c>
      <c r="F329">
        <v>2</v>
      </c>
      <c r="G329">
        <v>350.5</v>
      </c>
      <c r="H329">
        <v>660.4</v>
      </c>
      <c r="I329">
        <v>53.1</v>
      </c>
      <c r="L329">
        <f t="shared" si="71"/>
        <v>0</v>
      </c>
      <c r="M329">
        <f t="shared" si="79"/>
        <v>0</v>
      </c>
      <c r="N329">
        <f t="shared" si="72"/>
        <v>0</v>
      </c>
      <c r="O329">
        <f t="shared" si="73"/>
        <v>0</v>
      </c>
      <c r="P329">
        <f t="shared" si="74"/>
        <v>0</v>
      </c>
      <c r="Q329">
        <f t="shared" si="75"/>
        <v>0</v>
      </c>
      <c r="R329">
        <f t="shared" si="70"/>
        <v>0</v>
      </c>
      <c r="S329">
        <f t="shared" si="77"/>
        <v>0</v>
      </c>
      <c r="T329">
        <f t="shared" si="76"/>
        <v>0</v>
      </c>
      <c r="U329">
        <f t="shared" si="68"/>
        <v>0</v>
      </c>
      <c r="V329">
        <f t="shared" si="78"/>
        <v>0</v>
      </c>
      <c r="W329">
        <f t="shared" si="69"/>
        <v>0</v>
      </c>
      <c r="X329" t="s">
        <v>953</v>
      </c>
      <c r="Y329" t="s">
        <v>221</v>
      </c>
      <c r="Z329" s="3" t="s">
        <v>600</v>
      </c>
      <c r="AA329" t="s">
        <v>940</v>
      </c>
      <c r="AB329">
        <v>15</v>
      </c>
      <c r="AC329" s="8" t="s">
        <v>1036</v>
      </c>
      <c r="AD329" s="8" t="s">
        <v>1056</v>
      </c>
      <c r="AE329" s="8">
        <v>172</v>
      </c>
      <c r="AF329" s="8">
        <v>7.5</v>
      </c>
      <c r="AG329" s="8" t="s">
        <v>1036</v>
      </c>
      <c r="AH329" s="8" t="s">
        <v>1032</v>
      </c>
    </row>
    <row r="330" spans="3:34" x14ac:dyDescent="0.25">
      <c r="C330" t="s">
        <v>213</v>
      </c>
      <c r="D330" t="s">
        <v>12</v>
      </c>
      <c r="E330" t="s">
        <v>14</v>
      </c>
      <c r="F330">
        <v>2</v>
      </c>
      <c r="G330">
        <v>383</v>
      </c>
      <c r="H330">
        <v>703.2</v>
      </c>
      <c r="I330">
        <v>54.5</v>
      </c>
      <c r="L330">
        <f t="shared" si="71"/>
        <v>0</v>
      </c>
      <c r="M330">
        <f t="shared" si="79"/>
        <v>0</v>
      </c>
      <c r="N330">
        <f t="shared" si="72"/>
        <v>0</v>
      </c>
      <c r="O330">
        <f t="shared" si="73"/>
        <v>0</v>
      </c>
      <c r="P330">
        <f t="shared" si="74"/>
        <v>0</v>
      </c>
      <c r="Q330">
        <f t="shared" si="75"/>
        <v>0</v>
      </c>
      <c r="R330">
        <f t="shared" si="70"/>
        <v>0</v>
      </c>
      <c r="S330">
        <f t="shared" si="77"/>
        <v>0</v>
      </c>
      <c r="T330">
        <f t="shared" si="76"/>
        <v>0</v>
      </c>
      <c r="U330">
        <f t="shared" ref="U330:U393" si="80">IF(K330="Pyogenic Lesions", 1, 0)</f>
        <v>0</v>
      </c>
      <c r="V330">
        <f t="shared" si="78"/>
        <v>0</v>
      </c>
      <c r="W330">
        <f t="shared" si="69"/>
        <v>0</v>
      </c>
      <c r="X330" t="s">
        <v>954</v>
      </c>
      <c r="Y330" t="s">
        <v>225</v>
      </c>
      <c r="Z330" s="3" t="s">
        <v>644</v>
      </c>
      <c r="AA330" t="s">
        <v>955</v>
      </c>
      <c r="AB330">
        <v>15</v>
      </c>
      <c r="AC330" s="8" t="s">
        <v>1036</v>
      </c>
      <c r="AD330" s="8" t="s">
        <v>1056</v>
      </c>
      <c r="AE330" s="8">
        <v>172</v>
      </c>
      <c r="AF330" s="8">
        <v>7.5</v>
      </c>
      <c r="AG330" s="8" t="s">
        <v>1036</v>
      </c>
      <c r="AH330" s="8" t="s">
        <v>1032</v>
      </c>
    </row>
    <row r="331" spans="3:34" x14ac:dyDescent="0.25">
      <c r="C331" t="s">
        <v>219</v>
      </c>
      <c r="D331" t="s">
        <v>12</v>
      </c>
      <c r="E331" t="s">
        <v>14</v>
      </c>
      <c r="F331">
        <v>2</v>
      </c>
      <c r="G331">
        <v>360.5</v>
      </c>
      <c r="H331">
        <v>638.5</v>
      </c>
      <c r="I331">
        <v>56.5</v>
      </c>
      <c r="L331">
        <f t="shared" si="71"/>
        <v>0</v>
      </c>
      <c r="M331">
        <f t="shared" si="79"/>
        <v>0</v>
      </c>
      <c r="N331">
        <f t="shared" si="72"/>
        <v>0</v>
      </c>
      <c r="O331">
        <f t="shared" si="73"/>
        <v>0</v>
      </c>
      <c r="P331">
        <f t="shared" si="74"/>
        <v>0</v>
      </c>
      <c r="Q331">
        <f t="shared" si="75"/>
        <v>0</v>
      </c>
      <c r="R331">
        <f t="shared" si="70"/>
        <v>0</v>
      </c>
      <c r="S331">
        <f t="shared" si="77"/>
        <v>0</v>
      </c>
      <c r="T331">
        <f t="shared" si="76"/>
        <v>0</v>
      </c>
      <c r="U331">
        <f t="shared" si="80"/>
        <v>0</v>
      </c>
      <c r="V331">
        <f t="shared" si="78"/>
        <v>0</v>
      </c>
      <c r="W331">
        <f t="shared" si="69"/>
        <v>0</v>
      </c>
      <c r="X331" t="s">
        <v>956</v>
      </c>
      <c r="Y331" t="s">
        <v>228</v>
      </c>
      <c r="Z331" s="3" t="s">
        <v>650</v>
      </c>
      <c r="AA331" t="s">
        <v>943</v>
      </c>
      <c r="AB331">
        <v>15</v>
      </c>
      <c r="AC331" s="8" t="s">
        <v>1036</v>
      </c>
      <c r="AD331" s="8" t="s">
        <v>1056</v>
      </c>
      <c r="AE331" s="8">
        <v>172</v>
      </c>
      <c r="AF331" s="8">
        <v>7.5</v>
      </c>
      <c r="AG331" s="8" t="s">
        <v>1036</v>
      </c>
      <c r="AH331" s="8" t="s">
        <v>1032</v>
      </c>
    </row>
    <row r="332" spans="3:34" x14ac:dyDescent="0.25">
      <c r="C332" t="s">
        <v>223</v>
      </c>
      <c r="D332" t="s">
        <v>12</v>
      </c>
      <c r="E332" t="s">
        <v>14</v>
      </c>
      <c r="F332">
        <v>2</v>
      </c>
      <c r="G332">
        <v>345.5</v>
      </c>
      <c r="H332">
        <v>647.4</v>
      </c>
      <c r="I332">
        <v>53.4</v>
      </c>
      <c r="L332">
        <f t="shared" si="71"/>
        <v>0</v>
      </c>
      <c r="M332">
        <f t="shared" si="79"/>
        <v>0</v>
      </c>
      <c r="N332">
        <f t="shared" si="72"/>
        <v>0</v>
      </c>
      <c r="O332">
        <f t="shared" si="73"/>
        <v>0</v>
      </c>
      <c r="P332">
        <f t="shared" si="74"/>
        <v>0</v>
      </c>
      <c r="Q332">
        <f t="shared" si="75"/>
        <v>0</v>
      </c>
      <c r="R332">
        <f t="shared" si="70"/>
        <v>0</v>
      </c>
      <c r="S332">
        <f t="shared" si="77"/>
        <v>0</v>
      </c>
      <c r="T332">
        <f t="shared" si="76"/>
        <v>0</v>
      </c>
      <c r="U332">
        <f t="shared" si="80"/>
        <v>0</v>
      </c>
      <c r="V332">
        <f t="shared" si="78"/>
        <v>0</v>
      </c>
      <c r="W332">
        <f t="shared" si="69"/>
        <v>0</v>
      </c>
      <c r="X332" t="s">
        <v>957</v>
      </c>
      <c r="Y332" t="s">
        <v>868</v>
      </c>
      <c r="Z332" s="3" t="s">
        <v>653</v>
      </c>
      <c r="AA332" t="s">
        <v>955</v>
      </c>
      <c r="AB332">
        <v>15</v>
      </c>
      <c r="AC332" s="8" t="s">
        <v>1036</v>
      </c>
      <c r="AD332" s="8" t="s">
        <v>1056</v>
      </c>
      <c r="AE332" s="8">
        <v>172</v>
      </c>
      <c r="AF332" s="8">
        <v>7.5</v>
      </c>
      <c r="AG332" s="8" t="s">
        <v>1036</v>
      </c>
      <c r="AH332" s="8" t="s">
        <v>1032</v>
      </c>
    </row>
    <row r="333" spans="3:34" x14ac:dyDescent="0.25">
      <c r="C333" t="s">
        <v>226</v>
      </c>
      <c r="D333" t="s">
        <v>12</v>
      </c>
      <c r="E333" t="s">
        <v>14</v>
      </c>
      <c r="F333">
        <v>2</v>
      </c>
      <c r="G333">
        <v>319</v>
      </c>
      <c r="H333">
        <v>594.70000000000005</v>
      </c>
      <c r="I333">
        <v>53.6</v>
      </c>
      <c r="L333">
        <f t="shared" si="71"/>
        <v>0</v>
      </c>
      <c r="M333">
        <f t="shared" si="79"/>
        <v>0</v>
      </c>
      <c r="N333">
        <f t="shared" si="72"/>
        <v>0</v>
      </c>
      <c r="O333">
        <f t="shared" si="73"/>
        <v>0</v>
      </c>
      <c r="P333">
        <f t="shared" si="74"/>
        <v>0</v>
      </c>
      <c r="Q333">
        <f t="shared" si="75"/>
        <v>0</v>
      </c>
      <c r="R333">
        <f t="shared" si="70"/>
        <v>0</v>
      </c>
      <c r="S333">
        <f t="shared" si="77"/>
        <v>0</v>
      </c>
      <c r="T333">
        <f t="shared" si="76"/>
        <v>0</v>
      </c>
      <c r="U333">
        <f t="shared" si="80"/>
        <v>0</v>
      </c>
      <c r="V333">
        <f t="shared" si="78"/>
        <v>0</v>
      </c>
      <c r="W333">
        <f t="shared" si="69"/>
        <v>0</v>
      </c>
      <c r="X333" t="s">
        <v>958</v>
      </c>
      <c r="Y333" t="s">
        <v>871</v>
      </c>
      <c r="Z333" s="3" t="s">
        <v>653</v>
      </c>
      <c r="AA333" t="s">
        <v>949</v>
      </c>
      <c r="AB333">
        <v>15</v>
      </c>
      <c r="AC333" s="8" t="s">
        <v>1036</v>
      </c>
      <c r="AD333" s="8" t="s">
        <v>1056</v>
      </c>
      <c r="AE333" s="8">
        <v>172</v>
      </c>
      <c r="AF333" s="8">
        <v>7.5</v>
      </c>
      <c r="AG333" s="8" t="s">
        <v>1036</v>
      </c>
      <c r="AH333" s="8" t="s">
        <v>1032</v>
      </c>
    </row>
    <row r="334" spans="3:34" x14ac:dyDescent="0.25">
      <c r="C334" t="s">
        <v>959</v>
      </c>
      <c r="D334" t="s">
        <v>12</v>
      </c>
      <c r="E334" t="s">
        <v>14</v>
      </c>
      <c r="F334">
        <v>2</v>
      </c>
      <c r="G334">
        <v>328.5</v>
      </c>
      <c r="H334">
        <v>622.4</v>
      </c>
      <c r="I334">
        <v>52.8</v>
      </c>
      <c r="L334">
        <f t="shared" si="71"/>
        <v>0</v>
      </c>
      <c r="M334">
        <f t="shared" si="79"/>
        <v>0</v>
      </c>
      <c r="N334">
        <f t="shared" si="72"/>
        <v>0</v>
      </c>
      <c r="O334">
        <f t="shared" si="73"/>
        <v>0</v>
      </c>
      <c r="P334">
        <f t="shared" si="74"/>
        <v>0</v>
      </c>
      <c r="Q334">
        <f t="shared" si="75"/>
        <v>0</v>
      </c>
      <c r="R334">
        <f t="shared" si="70"/>
        <v>0</v>
      </c>
      <c r="S334">
        <f t="shared" si="77"/>
        <v>0</v>
      </c>
      <c r="T334">
        <f t="shared" si="76"/>
        <v>0</v>
      </c>
      <c r="U334">
        <f t="shared" si="80"/>
        <v>0</v>
      </c>
      <c r="V334">
        <f t="shared" si="78"/>
        <v>0</v>
      </c>
      <c r="W334">
        <f t="shared" ref="W334:W394" si="81">IF(K334="Other", 1, 0)</f>
        <v>0</v>
      </c>
      <c r="X334" t="s">
        <v>960</v>
      </c>
      <c r="Y334" t="s">
        <v>874</v>
      </c>
      <c r="Z334" s="3" t="s">
        <v>626</v>
      </c>
      <c r="AA334" t="s">
        <v>937</v>
      </c>
      <c r="AB334">
        <v>15</v>
      </c>
      <c r="AC334" s="8" t="s">
        <v>1036</v>
      </c>
      <c r="AD334" s="8" t="s">
        <v>1056</v>
      </c>
      <c r="AE334" s="8">
        <v>172</v>
      </c>
      <c r="AF334" s="8">
        <v>7.5</v>
      </c>
      <c r="AG334" s="8" t="s">
        <v>1036</v>
      </c>
      <c r="AH334" s="8" t="s">
        <v>1032</v>
      </c>
    </row>
    <row r="335" spans="3:34" x14ac:dyDescent="0.25">
      <c r="C335" t="s">
        <v>961</v>
      </c>
      <c r="D335" t="s">
        <v>12</v>
      </c>
      <c r="E335" t="s">
        <v>14</v>
      </c>
      <c r="F335">
        <v>2</v>
      </c>
      <c r="G335">
        <v>280.5</v>
      </c>
      <c r="H335">
        <v>554.6</v>
      </c>
      <c r="I335">
        <v>50.6</v>
      </c>
      <c r="L335">
        <f t="shared" si="71"/>
        <v>0</v>
      </c>
      <c r="M335">
        <f t="shared" si="79"/>
        <v>0</v>
      </c>
      <c r="N335">
        <f t="shared" si="72"/>
        <v>0</v>
      </c>
      <c r="O335">
        <f t="shared" si="73"/>
        <v>0</v>
      </c>
      <c r="P335">
        <f t="shared" si="74"/>
        <v>0</v>
      </c>
      <c r="Q335">
        <f t="shared" si="75"/>
        <v>0</v>
      </c>
      <c r="R335">
        <f t="shared" ref="R335:R394" si="82">IF(K335="SRM", 1, 0)</f>
        <v>0</v>
      </c>
      <c r="S335">
        <f t="shared" si="77"/>
        <v>0</v>
      </c>
      <c r="T335">
        <f t="shared" si="76"/>
        <v>0</v>
      </c>
      <c r="U335">
        <f t="shared" si="80"/>
        <v>0</v>
      </c>
      <c r="V335">
        <f t="shared" si="78"/>
        <v>0</v>
      </c>
      <c r="W335">
        <f t="shared" si="81"/>
        <v>0</v>
      </c>
      <c r="X335" t="s">
        <v>962</v>
      </c>
      <c r="Y335" t="s">
        <v>824</v>
      </c>
      <c r="Z335" s="3" t="s">
        <v>631</v>
      </c>
      <c r="AA335" t="s">
        <v>931</v>
      </c>
      <c r="AB335">
        <v>15</v>
      </c>
      <c r="AC335" s="8" t="s">
        <v>1036</v>
      </c>
      <c r="AD335" s="8" t="s">
        <v>1056</v>
      </c>
      <c r="AE335" s="8">
        <v>172</v>
      </c>
      <c r="AF335" s="8">
        <v>7.5</v>
      </c>
      <c r="AG335" s="8" t="s">
        <v>1036</v>
      </c>
      <c r="AH335" s="8" t="s">
        <v>1032</v>
      </c>
    </row>
    <row r="336" spans="3:34" x14ac:dyDescent="0.25">
      <c r="C336" t="s">
        <v>963</v>
      </c>
      <c r="D336" t="s">
        <v>12</v>
      </c>
      <c r="E336" t="s">
        <v>14</v>
      </c>
      <c r="F336">
        <v>2</v>
      </c>
      <c r="G336">
        <v>330.5</v>
      </c>
      <c r="H336">
        <v>586.9</v>
      </c>
      <c r="I336">
        <v>56.3</v>
      </c>
      <c r="L336">
        <f t="shared" si="71"/>
        <v>0</v>
      </c>
      <c r="M336">
        <f t="shared" si="79"/>
        <v>0</v>
      </c>
      <c r="N336">
        <f t="shared" si="72"/>
        <v>0</v>
      </c>
      <c r="O336">
        <f t="shared" si="73"/>
        <v>0</v>
      </c>
      <c r="P336">
        <f t="shared" si="74"/>
        <v>0</v>
      </c>
      <c r="Q336">
        <f t="shared" si="75"/>
        <v>0</v>
      </c>
      <c r="R336">
        <f t="shared" si="82"/>
        <v>0</v>
      </c>
      <c r="S336">
        <f t="shared" si="77"/>
        <v>0</v>
      </c>
      <c r="T336">
        <f t="shared" si="76"/>
        <v>0</v>
      </c>
      <c r="U336">
        <f t="shared" si="80"/>
        <v>0</v>
      </c>
      <c r="V336">
        <f t="shared" si="78"/>
        <v>0</v>
      </c>
      <c r="W336">
        <f t="shared" si="81"/>
        <v>0</v>
      </c>
      <c r="X336" t="s">
        <v>964</v>
      </c>
      <c r="Y336" t="s">
        <v>842</v>
      </c>
      <c r="Z336" s="3" t="s">
        <v>636</v>
      </c>
      <c r="AA336" t="s">
        <v>937</v>
      </c>
      <c r="AB336">
        <v>15</v>
      </c>
      <c r="AC336" s="8" t="s">
        <v>1036</v>
      </c>
      <c r="AD336" s="8" t="s">
        <v>1056</v>
      </c>
      <c r="AE336" s="8">
        <v>172</v>
      </c>
      <c r="AF336" s="8">
        <v>7.5</v>
      </c>
      <c r="AG336" s="8" t="s">
        <v>1036</v>
      </c>
      <c r="AH336" s="8" t="s">
        <v>1032</v>
      </c>
    </row>
    <row r="337" spans="1:35" x14ac:dyDescent="0.25">
      <c r="C337" t="s">
        <v>965</v>
      </c>
      <c r="D337" t="s">
        <v>12</v>
      </c>
      <c r="E337" t="s">
        <v>14</v>
      </c>
      <c r="F337">
        <v>2</v>
      </c>
      <c r="G337">
        <v>404.5</v>
      </c>
      <c r="H337">
        <v>702.6</v>
      </c>
      <c r="I337">
        <v>57.6</v>
      </c>
      <c r="L337">
        <f t="shared" si="71"/>
        <v>0</v>
      </c>
      <c r="M337">
        <f t="shared" si="79"/>
        <v>0</v>
      </c>
      <c r="N337">
        <f t="shared" si="72"/>
        <v>0</v>
      </c>
      <c r="O337">
        <f t="shared" si="73"/>
        <v>0</v>
      </c>
      <c r="P337">
        <f t="shared" si="74"/>
        <v>0</v>
      </c>
      <c r="Q337">
        <f t="shared" si="75"/>
        <v>0</v>
      </c>
      <c r="R337">
        <f t="shared" si="82"/>
        <v>0</v>
      </c>
      <c r="S337">
        <f t="shared" si="77"/>
        <v>0</v>
      </c>
      <c r="T337">
        <f t="shared" si="76"/>
        <v>0</v>
      </c>
      <c r="U337">
        <f t="shared" si="80"/>
        <v>0</v>
      </c>
      <c r="V337">
        <f t="shared" si="78"/>
        <v>0</v>
      </c>
      <c r="W337">
        <f t="shared" si="81"/>
        <v>0</v>
      </c>
      <c r="X337" t="s">
        <v>966</v>
      </c>
      <c r="Y337" t="s">
        <v>882</v>
      </c>
      <c r="Z337" s="3" t="s">
        <v>640</v>
      </c>
      <c r="AA337" t="s">
        <v>955</v>
      </c>
      <c r="AB337">
        <v>15</v>
      </c>
      <c r="AC337" s="8" t="s">
        <v>1036</v>
      </c>
      <c r="AD337" s="8" t="s">
        <v>1056</v>
      </c>
      <c r="AE337" s="8">
        <v>172</v>
      </c>
      <c r="AF337" s="8">
        <v>7.5</v>
      </c>
      <c r="AG337" s="8" t="s">
        <v>1036</v>
      </c>
      <c r="AH337" s="8" t="s">
        <v>1032</v>
      </c>
    </row>
    <row r="338" spans="1:35" x14ac:dyDescent="0.25">
      <c r="C338" t="s">
        <v>967</v>
      </c>
      <c r="D338" t="s">
        <v>12</v>
      </c>
      <c r="E338" t="s">
        <v>14</v>
      </c>
      <c r="F338">
        <v>2</v>
      </c>
      <c r="G338">
        <v>296.5</v>
      </c>
      <c r="H338">
        <v>568.20000000000005</v>
      </c>
      <c r="I338">
        <v>52.2</v>
      </c>
      <c r="L338">
        <f t="shared" si="71"/>
        <v>0</v>
      </c>
      <c r="M338">
        <f t="shared" si="79"/>
        <v>0</v>
      </c>
      <c r="N338">
        <f t="shared" si="72"/>
        <v>0</v>
      </c>
      <c r="O338">
        <f t="shared" si="73"/>
        <v>0</v>
      </c>
      <c r="P338">
        <f t="shared" si="74"/>
        <v>0</v>
      </c>
      <c r="Q338">
        <f t="shared" si="75"/>
        <v>0</v>
      </c>
      <c r="R338">
        <f t="shared" si="82"/>
        <v>0</v>
      </c>
      <c r="S338">
        <f t="shared" si="77"/>
        <v>0</v>
      </c>
      <c r="T338">
        <f t="shared" si="76"/>
        <v>0</v>
      </c>
      <c r="U338">
        <f t="shared" si="80"/>
        <v>0</v>
      </c>
      <c r="V338">
        <f t="shared" si="78"/>
        <v>0</v>
      </c>
      <c r="W338">
        <f t="shared" si="81"/>
        <v>0</v>
      </c>
      <c r="X338" t="s">
        <v>968</v>
      </c>
      <c r="Y338" t="s">
        <v>885</v>
      </c>
      <c r="Z338" s="3" t="s">
        <v>659</v>
      </c>
      <c r="AA338" t="s">
        <v>969</v>
      </c>
      <c r="AB338">
        <v>15</v>
      </c>
      <c r="AC338" s="8" t="s">
        <v>1036</v>
      </c>
      <c r="AD338" s="8" t="s">
        <v>1056</v>
      </c>
      <c r="AE338" s="8">
        <v>172</v>
      </c>
      <c r="AF338" s="8">
        <v>7.5</v>
      </c>
      <c r="AG338" s="8" t="s">
        <v>1036</v>
      </c>
      <c r="AH338" s="8" t="s">
        <v>1032</v>
      </c>
    </row>
    <row r="339" spans="1:35" x14ac:dyDescent="0.25">
      <c r="A339" s="2"/>
      <c r="B339" s="2"/>
      <c r="C339" s="2" t="s">
        <v>970</v>
      </c>
      <c r="D339" s="2" t="s">
        <v>12</v>
      </c>
      <c r="E339" s="2" t="s">
        <v>14</v>
      </c>
      <c r="F339" s="2">
        <v>4</v>
      </c>
      <c r="G339" s="2">
        <v>286.5</v>
      </c>
      <c r="H339" s="2">
        <v>569.70000000000005</v>
      </c>
      <c r="I339" s="2">
        <v>50.3</v>
      </c>
      <c r="J339" s="2"/>
      <c r="K339" s="2"/>
      <c r="L339" s="2">
        <f t="shared" si="71"/>
        <v>0</v>
      </c>
      <c r="M339" s="2">
        <f t="shared" si="79"/>
        <v>0</v>
      </c>
      <c r="N339" s="2">
        <f t="shared" si="72"/>
        <v>0</v>
      </c>
      <c r="O339" s="2">
        <f t="shared" si="73"/>
        <v>0</v>
      </c>
      <c r="P339" s="2">
        <f t="shared" si="74"/>
        <v>0</v>
      </c>
      <c r="Q339" s="2">
        <f t="shared" si="75"/>
        <v>0</v>
      </c>
      <c r="R339" s="2">
        <f t="shared" si="82"/>
        <v>0</v>
      </c>
      <c r="S339" s="2">
        <f t="shared" si="77"/>
        <v>0</v>
      </c>
      <c r="T339" s="2">
        <f t="shared" si="76"/>
        <v>0</v>
      </c>
      <c r="U339" s="2">
        <f t="shared" si="80"/>
        <v>0</v>
      </c>
      <c r="V339" s="2">
        <f t="shared" si="78"/>
        <v>0</v>
      </c>
      <c r="W339" s="2">
        <f t="shared" si="81"/>
        <v>0</v>
      </c>
      <c r="X339" s="2" t="s">
        <v>481</v>
      </c>
      <c r="Y339" s="2" t="s">
        <v>889</v>
      </c>
      <c r="Z339" s="6" t="s">
        <v>771</v>
      </c>
      <c r="AA339" s="2"/>
      <c r="AB339" s="13">
        <v>15</v>
      </c>
      <c r="AC339" s="9" t="s">
        <v>1036</v>
      </c>
      <c r="AD339" s="9" t="s">
        <v>1056</v>
      </c>
      <c r="AE339" s="9">
        <v>172</v>
      </c>
      <c r="AF339" s="9">
        <v>7.5</v>
      </c>
      <c r="AG339" s="9" t="s">
        <v>1036</v>
      </c>
      <c r="AH339" s="9" t="s">
        <v>1032</v>
      </c>
      <c r="AI339" s="2"/>
    </row>
    <row r="340" spans="1:35" ht="15.75" x14ac:dyDescent="0.25">
      <c r="A340" s="7">
        <v>45433</v>
      </c>
      <c r="B340" t="s">
        <v>971</v>
      </c>
      <c r="C340" t="s">
        <v>972</v>
      </c>
      <c r="D340" t="s">
        <v>12</v>
      </c>
      <c r="E340" t="s">
        <v>973</v>
      </c>
      <c r="F340">
        <v>1</v>
      </c>
      <c r="G340">
        <v>311.5</v>
      </c>
      <c r="H340">
        <v>576.79999999999995</v>
      </c>
      <c r="I340">
        <v>54</v>
      </c>
      <c r="L340">
        <f t="shared" si="71"/>
        <v>0</v>
      </c>
      <c r="M340">
        <f t="shared" si="79"/>
        <v>0</v>
      </c>
      <c r="N340">
        <f t="shared" si="72"/>
        <v>0</v>
      </c>
      <c r="O340">
        <f t="shared" si="73"/>
        <v>0</v>
      </c>
      <c r="P340">
        <f t="shared" si="74"/>
        <v>0</v>
      </c>
      <c r="Q340">
        <f t="shared" si="75"/>
        <v>0</v>
      </c>
      <c r="R340">
        <f t="shared" si="82"/>
        <v>0</v>
      </c>
      <c r="S340">
        <f t="shared" si="77"/>
        <v>0</v>
      </c>
      <c r="T340">
        <f t="shared" si="76"/>
        <v>0</v>
      </c>
      <c r="U340">
        <f t="shared" si="80"/>
        <v>0</v>
      </c>
      <c r="V340">
        <f t="shared" si="78"/>
        <v>0</v>
      </c>
      <c r="W340">
        <f t="shared" si="81"/>
        <v>0</v>
      </c>
      <c r="X340" t="s">
        <v>974</v>
      </c>
      <c r="Y340" t="s">
        <v>975</v>
      </c>
      <c r="Z340" s="3" t="s">
        <v>976</v>
      </c>
      <c r="AA340" t="s">
        <v>977</v>
      </c>
      <c r="AB340" s="14">
        <f>22.5-15.5</f>
        <v>7</v>
      </c>
      <c r="AC340" s="8" t="s">
        <v>1071</v>
      </c>
      <c r="AD340" s="24" t="s">
        <v>1057</v>
      </c>
      <c r="AE340" s="8">
        <v>175</v>
      </c>
      <c r="AF340" s="8">
        <v>2.5</v>
      </c>
      <c r="AG340" s="8" t="s">
        <v>1036</v>
      </c>
      <c r="AH340" s="8" t="s">
        <v>1032</v>
      </c>
    </row>
    <row r="341" spans="1:35" x14ac:dyDescent="0.25">
      <c r="C341" t="s">
        <v>978</v>
      </c>
      <c r="D341" t="s">
        <v>12</v>
      </c>
      <c r="E341" t="s">
        <v>14</v>
      </c>
      <c r="F341">
        <v>1</v>
      </c>
      <c r="G341">
        <v>312.5</v>
      </c>
      <c r="H341">
        <v>586.79999999999995</v>
      </c>
      <c r="I341">
        <v>53.3</v>
      </c>
      <c r="L341">
        <f t="shared" ref="L341:L394" si="83">M341+N341+O341+P341+Q341+R341+S341+T341+U341+V341+W341</f>
        <v>0</v>
      </c>
      <c r="M341">
        <f t="shared" si="79"/>
        <v>0</v>
      </c>
      <c r="N341">
        <f t="shared" si="72"/>
        <v>0</v>
      </c>
      <c r="O341">
        <f t="shared" si="73"/>
        <v>0</v>
      </c>
      <c r="P341">
        <f t="shared" si="74"/>
        <v>0</v>
      </c>
      <c r="Q341">
        <f t="shared" si="75"/>
        <v>0</v>
      </c>
      <c r="R341">
        <f t="shared" si="82"/>
        <v>0</v>
      </c>
      <c r="S341">
        <f t="shared" si="77"/>
        <v>0</v>
      </c>
      <c r="T341">
        <f t="shared" si="76"/>
        <v>0</v>
      </c>
      <c r="U341">
        <f t="shared" si="80"/>
        <v>0</v>
      </c>
      <c r="V341">
        <f t="shared" si="78"/>
        <v>0</v>
      </c>
      <c r="W341">
        <f t="shared" si="81"/>
        <v>0</v>
      </c>
      <c r="X341" t="s">
        <v>979</v>
      </c>
      <c r="Y341" t="s">
        <v>975</v>
      </c>
      <c r="Z341" s="3" t="s">
        <v>980</v>
      </c>
      <c r="AB341">
        <v>7</v>
      </c>
      <c r="AC341" s="8" t="s">
        <v>1071</v>
      </c>
      <c r="AD341" s="24" t="s">
        <v>1057</v>
      </c>
      <c r="AE341" s="8">
        <v>175</v>
      </c>
      <c r="AF341" s="8">
        <v>2.5</v>
      </c>
      <c r="AG341" s="8" t="s">
        <v>1036</v>
      </c>
      <c r="AH341" s="8" t="s">
        <v>1032</v>
      </c>
    </row>
    <row r="342" spans="1:35" x14ac:dyDescent="0.25">
      <c r="C342" t="s">
        <v>981</v>
      </c>
      <c r="D342" t="s">
        <v>12</v>
      </c>
      <c r="E342" t="s">
        <v>973</v>
      </c>
      <c r="F342">
        <v>1</v>
      </c>
      <c r="G342">
        <v>292</v>
      </c>
      <c r="H342">
        <v>568.9</v>
      </c>
      <c r="I342">
        <v>51.3</v>
      </c>
      <c r="L342">
        <f t="shared" si="83"/>
        <v>0</v>
      </c>
      <c r="M342">
        <f t="shared" si="79"/>
        <v>0</v>
      </c>
      <c r="N342">
        <f t="shared" ref="N342:N394" si="84">IF(K342="cirrhosis", 1, 0)</f>
        <v>0</v>
      </c>
      <c r="O342">
        <f t="shared" ref="O342:O394" si="85">IF(K342="bruised", 1, 0)</f>
        <v>0</v>
      </c>
      <c r="P342">
        <f t="shared" ref="P342:P394" si="86">IF(K342="inoculation", 1, 0)</f>
        <v>0</v>
      </c>
      <c r="Q342">
        <f t="shared" ref="Q342:Q394" si="87">IF(K342="Pleurisy", 1, 0)</f>
        <v>0</v>
      </c>
      <c r="R342">
        <f t="shared" si="82"/>
        <v>0</v>
      </c>
      <c r="S342">
        <f t="shared" si="77"/>
        <v>0</v>
      </c>
      <c r="T342">
        <f t="shared" ref="T342:T394" si="88">IF(J342="Condemned", 1, 0)</f>
        <v>0</v>
      </c>
      <c r="U342">
        <f t="shared" si="80"/>
        <v>0</v>
      </c>
      <c r="V342">
        <f t="shared" si="78"/>
        <v>0</v>
      </c>
      <c r="W342">
        <f t="shared" si="81"/>
        <v>0</v>
      </c>
      <c r="X342" t="s">
        <v>982</v>
      </c>
      <c r="Y342" t="s">
        <v>983</v>
      </c>
      <c r="Z342" s="3" t="s">
        <v>984</v>
      </c>
      <c r="AB342">
        <v>7</v>
      </c>
      <c r="AC342" s="8" t="s">
        <v>1071</v>
      </c>
      <c r="AD342" s="24" t="s">
        <v>1057</v>
      </c>
      <c r="AE342" s="8">
        <v>175</v>
      </c>
      <c r="AF342" s="8">
        <v>2.5</v>
      </c>
      <c r="AG342" s="8" t="s">
        <v>1036</v>
      </c>
      <c r="AH342" s="8" t="s">
        <v>1032</v>
      </c>
    </row>
    <row r="343" spans="1:35" x14ac:dyDescent="0.25">
      <c r="C343" t="s">
        <v>985</v>
      </c>
      <c r="D343" t="s">
        <v>12</v>
      </c>
      <c r="E343" t="s">
        <v>14</v>
      </c>
      <c r="F343">
        <v>1</v>
      </c>
      <c r="G343">
        <v>245</v>
      </c>
      <c r="H343">
        <v>489.6</v>
      </c>
      <c r="I343">
        <v>50</v>
      </c>
      <c r="L343">
        <f t="shared" si="83"/>
        <v>0</v>
      </c>
      <c r="M343">
        <f t="shared" si="79"/>
        <v>0</v>
      </c>
      <c r="N343">
        <f t="shared" si="84"/>
        <v>0</v>
      </c>
      <c r="O343">
        <f t="shared" si="85"/>
        <v>0</v>
      </c>
      <c r="P343">
        <f t="shared" si="86"/>
        <v>0</v>
      </c>
      <c r="Q343">
        <f t="shared" si="87"/>
        <v>0</v>
      </c>
      <c r="R343">
        <f t="shared" si="82"/>
        <v>0</v>
      </c>
      <c r="S343">
        <f t="shared" si="77"/>
        <v>0</v>
      </c>
      <c r="T343">
        <f t="shared" si="88"/>
        <v>0</v>
      </c>
      <c r="U343">
        <f t="shared" si="80"/>
        <v>0</v>
      </c>
      <c r="V343">
        <f t="shared" si="78"/>
        <v>0</v>
      </c>
      <c r="W343">
        <f t="shared" si="81"/>
        <v>0</v>
      </c>
      <c r="X343" t="s">
        <v>986</v>
      </c>
      <c r="Y343" t="s">
        <v>983</v>
      </c>
      <c r="Z343" s="3" t="s">
        <v>984</v>
      </c>
      <c r="AA343" t="s">
        <v>987</v>
      </c>
      <c r="AB343">
        <v>7</v>
      </c>
      <c r="AC343" s="8" t="s">
        <v>1071</v>
      </c>
      <c r="AD343" s="24" t="s">
        <v>1057</v>
      </c>
      <c r="AE343" s="8">
        <v>175</v>
      </c>
      <c r="AF343" s="8">
        <v>2.5</v>
      </c>
      <c r="AG343" s="8" t="s">
        <v>1036</v>
      </c>
      <c r="AH343" s="8" t="s">
        <v>1032</v>
      </c>
    </row>
    <row r="344" spans="1:35" x14ac:dyDescent="0.25">
      <c r="C344" t="s">
        <v>988</v>
      </c>
      <c r="D344" t="s">
        <v>12</v>
      </c>
      <c r="E344" t="s">
        <v>14</v>
      </c>
      <c r="F344">
        <v>1</v>
      </c>
      <c r="G344">
        <v>329</v>
      </c>
      <c r="H344">
        <v>631.5</v>
      </c>
      <c r="I344">
        <v>52.1</v>
      </c>
      <c r="L344">
        <f t="shared" si="83"/>
        <v>0</v>
      </c>
      <c r="M344">
        <f t="shared" si="79"/>
        <v>0</v>
      </c>
      <c r="N344">
        <f t="shared" si="84"/>
        <v>0</v>
      </c>
      <c r="O344">
        <f t="shared" si="85"/>
        <v>0</v>
      </c>
      <c r="P344">
        <f t="shared" si="86"/>
        <v>0</v>
      </c>
      <c r="Q344">
        <f t="shared" si="87"/>
        <v>0</v>
      </c>
      <c r="R344">
        <f t="shared" si="82"/>
        <v>0</v>
      </c>
      <c r="S344">
        <f t="shared" si="77"/>
        <v>0</v>
      </c>
      <c r="T344">
        <f t="shared" si="88"/>
        <v>0</v>
      </c>
      <c r="U344">
        <f t="shared" si="80"/>
        <v>0</v>
      </c>
      <c r="V344">
        <f t="shared" si="78"/>
        <v>0</v>
      </c>
      <c r="W344">
        <f t="shared" si="81"/>
        <v>0</v>
      </c>
      <c r="X344" t="s">
        <v>989</v>
      </c>
      <c r="Y344" t="s">
        <v>990</v>
      </c>
      <c r="Z344" s="3" t="s">
        <v>991</v>
      </c>
      <c r="AA344" t="s">
        <v>992</v>
      </c>
      <c r="AB344">
        <v>7</v>
      </c>
      <c r="AC344" s="8" t="s">
        <v>1071</v>
      </c>
      <c r="AD344" s="24" t="s">
        <v>1057</v>
      </c>
      <c r="AE344" s="8">
        <v>175</v>
      </c>
      <c r="AF344" s="8">
        <v>2.5</v>
      </c>
      <c r="AG344" s="8" t="s">
        <v>1036</v>
      </c>
      <c r="AH344" s="8" t="s">
        <v>1032</v>
      </c>
    </row>
    <row r="345" spans="1:35" x14ac:dyDescent="0.25">
      <c r="C345" t="s">
        <v>993</v>
      </c>
      <c r="D345" t="s">
        <v>12</v>
      </c>
      <c r="E345" t="s">
        <v>14</v>
      </c>
      <c r="F345">
        <v>1</v>
      </c>
      <c r="G345">
        <v>292</v>
      </c>
      <c r="H345">
        <v>570.29999999999995</v>
      </c>
      <c r="I345">
        <v>51.2</v>
      </c>
      <c r="L345">
        <f t="shared" si="83"/>
        <v>0</v>
      </c>
      <c r="M345">
        <f t="shared" si="79"/>
        <v>0</v>
      </c>
      <c r="N345">
        <f t="shared" si="84"/>
        <v>0</v>
      </c>
      <c r="O345">
        <f t="shared" si="85"/>
        <v>0</v>
      </c>
      <c r="P345">
        <f t="shared" si="86"/>
        <v>0</v>
      </c>
      <c r="Q345">
        <f t="shared" si="87"/>
        <v>0</v>
      </c>
      <c r="R345">
        <f t="shared" si="82"/>
        <v>0</v>
      </c>
      <c r="S345">
        <f t="shared" si="77"/>
        <v>0</v>
      </c>
      <c r="T345">
        <f t="shared" si="88"/>
        <v>0</v>
      </c>
      <c r="U345">
        <f t="shared" si="80"/>
        <v>0</v>
      </c>
      <c r="V345">
        <f t="shared" si="78"/>
        <v>0</v>
      </c>
      <c r="W345">
        <f t="shared" si="81"/>
        <v>0</v>
      </c>
      <c r="X345" t="s">
        <v>994</v>
      </c>
      <c r="Y345" t="s">
        <v>995</v>
      </c>
      <c r="Z345" s="3" t="s">
        <v>996</v>
      </c>
      <c r="AB345">
        <v>7</v>
      </c>
      <c r="AC345" s="8" t="s">
        <v>1071</v>
      </c>
      <c r="AD345" s="24" t="s">
        <v>1057</v>
      </c>
      <c r="AE345" s="8">
        <v>175</v>
      </c>
      <c r="AF345" s="8">
        <v>2.5</v>
      </c>
      <c r="AG345" s="8" t="s">
        <v>1036</v>
      </c>
      <c r="AH345" s="8" t="s">
        <v>1032</v>
      </c>
    </row>
    <row r="346" spans="1:35" x14ac:dyDescent="0.25">
      <c r="C346" t="s">
        <v>997</v>
      </c>
      <c r="D346" t="s">
        <v>12</v>
      </c>
      <c r="E346" t="s">
        <v>14</v>
      </c>
      <c r="F346">
        <v>1</v>
      </c>
      <c r="G346">
        <v>297.5</v>
      </c>
      <c r="H346">
        <v>613</v>
      </c>
      <c r="I346">
        <v>48.5</v>
      </c>
      <c r="L346">
        <f t="shared" si="83"/>
        <v>0</v>
      </c>
      <c r="M346">
        <f t="shared" si="79"/>
        <v>0</v>
      </c>
      <c r="N346">
        <f t="shared" si="84"/>
        <v>0</v>
      </c>
      <c r="O346">
        <f t="shared" si="85"/>
        <v>0</v>
      </c>
      <c r="P346">
        <f t="shared" si="86"/>
        <v>0</v>
      </c>
      <c r="Q346">
        <f t="shared" si="87"/>
        <v>0</v>
      </c>
      <c r="R346">
        <f t="shared" si="82"/>
        <v>0</v>
      </c>
      <c r="S346">
        <f t="shared" si="77"/>
        <v>0</v>
      </c>
      <c r="T346">
        <f t="shared" si="88"/>
        <v>0</v>
      </c>
      <c r="U346">
        <f t="shared" si="80"/>
        <v>0</v>
      </c>
      <c r="V346">
        <f t="shared" si="78"/>
        <v>0</v>
      </c>
      <c r="W346">
        <f t="shared" si="81"/>
        <v>0</v>
      </c>
      <c r="X346" t="s">
        <v>998</v>
      </c>
      <c r="Y346" t="s">
        <v>995</v>
      </c>
      <c r="Z346" s="3" t="s">
        <v>999</v>
      </c>
      <c r="AB346">
        <v>7</v>
      </c>
      <c r="AC346" s="8" t="s">
        <v>1071</v>
      </c>
      <c r="AD346" s="24" t="s">
        <v>1057</v>
      </c>
      <c r="AE346" s="8">
        <v>175</v>
      </c>
      <c r="AF346" s="8">
        <v>2.5</v>
      </c>
      <c r="AG346" s="8" t="s">
        <v>1036</v>
      </c>
      <c r="AH346" s="8" t="s">
        <v>1032</v>
      </c>
    </row>
    <row r="347" spans="1:35" x14ac:dyDescent="0.25">
      <c r="C347" t="s">
        <v>1000</v>
      </c>
      <c r="D347" t="s">
        <v>12</v>
      </c>
      <c r="E347" t="s">
        <v>973</v>
      </c>
      <c r="F347">
        <v>1</v>
      </c>
      <c r="G347">
        <v>388.5</v>
      </c>
      <c r="H347">
        <v>696.5</v>
      </c>
      <c r="I347">
        <v>55.8</v>
      </c>
      <c r="L347">
        <f t="shared" si="83"/>
        <v>0</v>
      </c>
      <c r="M347">
        <f t="shared" si="79"/>
        <v>0</v>
      </c>
      <c r="N347">
        <f t="shared" si="84"/>
        <v>0</v>
      </c>
      <c r="O347">
        <f t="shared" si="85"/>
        <v>0</v>
      </c>
      <c r="P347">
        <f t="shared" si="86"/>
        <v>0</v>
      </c>
      <c r="Q347">
        <f t="shared" si="87"/>
        <v>0</v>
      </c>
      <c r="R347">
        <f t="shared" si="82"/>
        <v>0</v>
      </c>
      <c r="S347">
        <f t="shared" si="77"/>
        <v>0</v>
      </c>
      <c r="T347">
        <f t="shared" si="88"/>
        <v>0</v>
      </c>
      <c r="U347">
        <f t="shared" si="80"/>
        <v>0</v>
      </c>
      <c r="V347">
        <f t="shared" si="78"/>
        <v>0</v>
      </c>
      <c r="W347">
        <f t="shared" si="81"/>
        <v>0</v>
      </c>
      <c r="X347" t="s">
        <v>1001</v>
      </c>
      <c r="Y347" t="s">
        <v>1002</v>
      </c>
      <c r="Z347" s="3" t="s">
        <v>1003</v>
      </c>
      <c r="AB347">
        <v>7</v>
      </c>
      <c r="AC347" s="8" t="s">
        <v>1071</v>
      </c>
      <c r="AD347" s="24" t="s">
        <v>1057</v>
      </c>
      <c r="AE347" s="8">
        <v>175</v>
      </c>
      <c r="AF347" s="8">
        <v>2.5</v>
      </c>
      <c r="AG347" s="8" t="s">
        <v>1036</v>
      </c>
      <c r="AH347" s="8" t="s">
        <v>1032</v>
      </c>
    </row>
    <row r="348" spans="1:35" x14ac:dyDescent="0.25">
      <c r="C348" t="s">
        <v>1004</v>
      </c>
      <c r="D348" t="s">
        <v>12</v>
      </c>
      <c r="E348" t="s">
        <v>14</v>
      </c>
      <c r="F348">
        <v>1</v>
      </c>
      <c r="G348">
        <v>299</v>
      </c>
      <c r="H348">
        <v>575.1</v>
      </c>
      <c r="I348">
        <v>52</v>
      </c>
      <c r="L348">
        <f t="shared" si="83"/>
        <v>0</v>
      </c>
      <c r="M348">
        <f t="shared" si="79"/>
        <v>0</v>
      </c>
      <c r="N348">
        <f t="shared" si="84"/>
        <v>0</v>
      </c>
      <c r="O348">
        <f t="shared" si="85"/>
        <v>0</v>
      </c>
      <c r="P348">
        <f t="shared" si="86"/>
        <v>0</v>
      </c>
      <c r="Q348">
        <f t="shared" si="87"/>
        <v>0</v>
      </c>
      <c r="R348">
        <f t="shared" si="82"/>
        <v>0</v>
      </c>
      <c r="S348">
        <f t="shared" si="77"/>
        <v>0</v>
      </c>
      <c r="T348">
        <f t="shared" si="88"/>
        <v>0</v>
      </c>
      <c r="U348">
        <f t="shared" si="80"/>
        <v>0</v>
      </c>
      <c r="V348">
        <f t="shared" si="78"/>
        <v>0</v>
      </c>
      <c r="W348">
        <f t="shared" si="81"/>
        <v>0</v>
      </c>
      <c r="X348" t="s">
        <v>1005</v>
      </c>
      <c r="Y348" t="s">
        <v>1006</v>
      </c>
      <c r="Z348" s="3" t="s">
        <v>1007</v>
      </c>
      <c r="AA348" t="s">
        <v>977</v>
      </c>
      <c r="AB348">
        <v>7</v>
      </c>
      <c r="AC348" s="8" t="s">
        <v>1071</v>
      </c>
      <c r="AD348" s="24" t="s">
        <v>1057</v>
      </c>
      <c r="AE348" s="8">
        <v>175</v>
      </c>
      <c r="AF348" s="8">
        <v>2.5</v>
      </c>
      <c r="AG348" s="8" t="s">
        <v>1036</v>
      </c>
      <c r="AH348" s="8" t="s">
        <v>1032</v>
      </c>
    </row>
    <row r="349" spans="1:35" x14ac:dyDescent="0.25">
      <c r="C349" t="s">
        <v>1008</v>
      </c>
      <c r="D349" t="s">
        <v>12</v>
      </c>
      <c r="E349" t="s">
        <v>973</v>
      </c>
      <c r="F349">
        <v>1</v>
      </c>
      <c r="G349">
        <v>322</v>
      </c>
      <c r="H349">
        <v>617.79999999999995</v>
      </c>
      <c r="I349">
        <v>52.1</v>
      </c>
      <c r="L349">
        <f t="shared" si="83"/>
        <v>0</v>
      </c>
      <c r="M349">
        <f t="shared" si="79"/>
        <v>0</v>
      </c>
      <c r="N349">
        <f t="shared" si="84"/>
        <v>0</v>
      </c>
      <c r="O349">
        <f t="shared" si="85"/>
        <v>0</v>
      </c>
      <c r="P349">
        <f t="shared" si="86"/>
        <v>0</v>
      </c>
      <c r="Q349">
        <f t="shared" si="87"/>
        <v>0</v>
      </c>
      <c r="R349">
        <f t="shared" si="82"/>
        <v>0</v>
      </c>
      <c r="S349">
        <f t="shared" si="77"/>
        <v>0</v>
      </c>
      <c r="T349">
        <f t="shared" si="88"/>
        <v>0</v>
      </c>
      <c r="U349">
        <f t="shared" si="80"/>
        <v>0</v>
      </c>
      <c r="V349">
        <f t="shared" si="78"/>
        <v>0</v>
      </c>
      <c r="W349">
        <f t="shared" si="81"/>
        <v>0</v>
      </c>
      <c r="X349" t="s">
        <v>1009</v>
      </c>
      <c r="Y349" t="s">
        <v>1010</v>
      </c>
      <c r="Z349" s="3" t="s">
        <v>1007</v>
      </c>
      <c r="AA349" t="s">
        <v>977</v>
      </c>
      <c r="AB349">
        <v>7</v>
      </c>
      <c r="AC349" s="8" t="s">
        <v>1071</v>
      </c>
      <c r="AD349" s="24" t="s">
        <v>1057</v>
      </c>
      <c r="AE349" s="8">
        <v>175</v>
      </c>
      <c r="AF349" s="8">
        <v>2.5</v>
      </c>
      <c r="AG349" s="8" t="s">
        <v>1036</v>
      </c>
      <c r="AH349" s="8" t="s">
        <v>1032</v>
      </c>
    </row>
    <row r="350" spans="1:35" x14ac:dyDescent="0.25">
      <c r="C350" t="s">
        <v>1011</v>
      </c>
      <c r="D350" t="s">
        <v>12</v>
      </c>
      <c r="E350" t="s">
        <v>973</v>
      </c>
      <c r="F350">
        <v>1</v>
      </c>
      <c r="G350">
        <v>307.5</v>
      </c>
      <c r="H350">
        <v>588.9</v>
      </c>
      <c r="I350">
        <v>52.2</v>
      </c>
      <c r="L350">
        <f t="shared" si="83"/>
        <v>0</v>
      </c>
      <c r="M350">
        <f t="shared" si="79"/>
        <v>0</v>
      </c>
      <c r="N350">
        <f t="shared" si="84"/>
        <v>0</v>
      </c>
      <c r="O350">
        <f t="shared" si="85"/>
        <v>0</v>
      </c>
      <c r="P350">
        <f t="shared" si="86"/>
        <v>0</v>
      </c>
      <c r="Q350">
        <f t="shared" si="87"/>
        <v>0</v>
      </c>
      <c r="R350">
        <f t="shared" si="82"/>
        <v>0</v>
      </c>
      <c r="S350">
        <f t="shared" si="77"/>
        <v>0</v>
      </c>
      <c r="T350">
        <f t="shared" si="88"/>
        <v>0</v>
      </c>
      <c r="U350">
        <f t="shared" si="80"/>
        <v>0</v>
      </c>
      <c r="V350">
        <f t="shared" si="78"/>
        <v>0</v>
      </c>
      <c r="W350">
        <f t="shared" si="81"/>
        <v>0</v>
      </c>
      <c r="X350" t="s">
        <v>1012</v>
      </c>
      <c r="Y350" t="s">
        <v>1013</v>
      </c>
      <c r="Z350" s="3" t="s">
        <v>1014</v>
      </c>
      <c r="AA350" t="s">
        <v>1015</v>
      </c>
      <c r="AB350">
        <v>7</v>
      </c>
      <c r="AC350" s="8" t="s">
        <v>1071</v>
      </c>
      <c r="AD350" s="24" t="s">
        <v>1057</v>
      </c>
      <c r="AE350" s="8">
        <v>175</v>
      </c>
      <c r="AF350" s="8">
        <v>2.5</v>
      </c>
      <c r="AG350" s="8" t="s">
        <v>1036</v>
      </c>
      <c r="AH350" s="8" t="s">
        <v>1032</v>
      </c>
    </row>
    <row r="351" spans="1:35" x14ac:dyDescent="0.25">
      <c r="C351" t="s">
        <v>1016</v>
      </c>
      <c r="D351" t="s">
        <v>12</v>
      </c>
      <c r="E351" t="s">
        <v>14</v>
      </c>
      <c r="F351">
        <v>1</v>
      </c>
      <c r="G351">
        <v>346</v>
      </c>
      <c r="H351">
        <v>652.9</v>
      </c>
      <c r="I351">
        <v>53</v>
      </c>
      <c r="L351">
        <f t="shared" si="83"/>
        <v>0</v>
      </c>
      <c r="M351">
        <f t="shared" si="79"/>
        <v>0</v>
      </c>
      <c r="N351">
        <f t="shared" si="84"/>
        <v>0</v>
      </c>
      <c r="O351">
        <f t="shared" si="85"/>
        <v>0</v>
      </c>
      <c r="P351">
        <f t="shared" si="86"/>
        <v>0</v>
      </c>
      <c r="Q351">
        <f t="shared" si="87"/>
        <v>0</v>
      </c>
      <c r="R351">
        <f t="shared" si="82"/>
        <v>0</v>
      </c>
      <c r="S351">
        <f t="shared" si="77"/>
        <v>0</v>
      </c>
      <c r="T351">
        <f t="shared" si="88"/>
        <v>0</v>
      </c>
      <c r="U351">
        <f t="shared" si="80"/>
        <v>0</v>
      </c>
      <c r="V351">
        <f t="shared" si="78"/>
        <v>0</v>
      </c>
      <c r="W351">
        <f t="shared" si="81"/>
        <v>0</v>
      </c>
      <c r="X351" t="s">
        <v>1017</v>
      </c>
      <c r="Y351" t="s">
        <v>1013</v>
      </c>
      <c r="Z351" s="3" t="s">
        <v>1018</v>
      </c>
      <c r="AA351" t="s">
        <v>992</v>
      </c>
      <c r="AB351">
        <v>7</v>
      </c>
      <c r="AC351" s="8" t="s">
        <v>1071</v>
      </c>
      <c r="AD351" s="24" t="s">
        <v>1057</v>
      </c>
      <c r="AE351" s="8">
        <v>175</v>
      </c>
      <c r="AF351" s="8">
        <v>2.5</v>
      </c>
      <c r="AG351" s="8" t="s">
        <v>1036</v>
      </c>
      <c r="AH351" s="8" t="s">
        <v>1032</v>
      </c>
    </row>
    <row r="352" spans="1:35" x14ac:dyDescent="0.25">
      <c r="C352" t="s">
        <v>1019</v>
      </c>
      <c r="D352" t="s">
        <v>12</v>
      </c>
      <c r="E352" t="s">
        <v>14</v>
      </c>
      <c r="F352">
        <v>1</v>
      </c>
      <c r="G352">
        <v>291.5</v>
      </c>
      <c r="H352">
        <v>552.29999999999995</v>
      </c>
      <c r="I352">
        <v>52.8</v>
      </c>
      <c r="L352">
        <f t="shared" si="83"/>
        <v>0</v>
      </c>
      <c r="M352">
        <f t="shared" si="79"/>
        <v>0</v>
      </c>
      <c r="N352">
        <f t="shared" si="84"/>
        <v>0</v>
      </c>
      <c r="O352">
        <f t="shared" si="85"/>
        <v>0</v>
      </c>
      <c r="P352">
        <f t="shared" si="86"/>
        <v>0</v>
      </c>
      <c r="Q352">
        <f t="shared" si="87"/>
        <v>0</v>
      </c>
      <c r="R352">
        <f t="shared" si="82"/>
        <v>0</v>
      </c>
      <c r="S352">
        <f t="shared" si="77"/>
        <v>0</v>
      </c>
      <c r="T352">
        <f t="shared" si="88"/>
        <v>0</v>
      </c>
      <c r="U352">
        <f t="shared" si="80"/>
        <v>0</v>
      </c>
      <c r="V352">
        <f t="shared" si="78"/>
        <v>0</v>
      </c>
      <c r="W352">
        <f t="shared" si="81"/>
        <v>0</v>
      </c>
      <c r="X352" t="s">
        <v>1020</v>
      </c>
      <c r="Y352" t="s">
        <v>1021</v>
      </c>
      <c r="Z352" s="3" t="s">
        <v>1022</v>
      </c>
      <c r="AA352" t="s">
        <v>987</v>
      </c>
      <c r="AB352">
        <v>7</v>
      </c>
      <c r="AC352" s="8" t="s">
        <v>1071</v>
      </c>
      <c r="AD352" s="24" t="s">
        <v>1057</v>
      </c>
      <c r="AE352" s="8">
        <v>175</v>
      </c>
      <c r="AF352" s="8">
        <v>2.5</v>
      </c>
      <c r="AG352" s="8" t="s">
        <v>1036</v>
      </c>
      <c r="AH352" s="8" t="s">
        <v>1032</v>
      </c>
    </row>
    <row r="353" spans="1:34" x14ac:dyDescent="0.25">
      <c r="C353" t="s">
        <v>1023</v>
      </c>
      <c r="D353" t="s">
        <v>12</v>
      </c>
      <c r="E353" t="s">
        <v>14</v>
      </c>
      <c r="F353">
        <v>1</v>
      </c>
      <c r="G353">
        <v>297</v>
      </c>
      <c r="H353">
        <v>590.9</v>
      </c>
      <c r="I353">
        <v>50.3</v>
      </c>
      <c r="L353">
        <f t="shared" si="83"/>
        <v>0</v>
      </c>
      <c r="M353">
        <f t="shared" si="79"/>
        <v>0</v>
      </c>
      <c r="N353">
        <f t="shared" si="84"/>
        <v>0</v>
      </c>
      <c r="O353">
        <f t="shared" si="85"/>
        <v>0</v>
      </c>
      <c r="P353">
        <f t="shared" si="86"/>
        <v>0</v>
      </c>
      <c r="Q353">
        <f t="shared" si="87"/>
        <v>0</v>
      </c>
      <c r="R353">
        <f t="shared" si="82"/>
        <v>0</v>
      </c>
      <c r="S353">
        <f t="shared" si="77"/>
        <v>0</v>
      </c>
      <c r="T353">
        <f t="shared" si="88"/>
        <v>0</v>
      </c>
      <c r="U353">
        <f t="shared" si="80"/>
        <v>0</v>
      </c>
      <c r="V353">
        <f t="shared" si="78"/>
        <v>0</v>
      </c>
      <c r="W353">
        <f t="shared" si="81"/>
        <v>0</v>
      </c>
      <c r="X353" t="s">
        <v>1024</v>
      </c>
      <c r="Y353" t="s">
        <v>1025</v>
      </c>
      <c r="Z353" s="3" t="s">
        <v>1022</v>
      </c>
      <c r="AA353" t="s">
        <v>1015</v>
      </c>
      <c r="AB353">
        <v>7</v>
      </c>
      <c r="AC353" s="8" t="s">
        <v>1071</v>
      </c>
      <c r="AD353" s="24" t="s">
        <v>1057</v>
      </c>
      <c r="AE353" s="8">
        <v>175</v>
      </c>
      <c r="AF353" s="8">
        <v>2.5</v>
      </c>
      <c r="AG353" s="8" t="s">
        <v>1036</v>
      </c>
      <c r="AH353" s="8" t="s">
        <v>1032</v>
      </c>
    </row>
    <row r="354" spans="1:34" x14ac:dyDescent="0.25">
      <c r="A354" s="2"/>
      <c r="B354" s="2"/>
      <c r="C354" s="2" t="s">
        <v>1026</v>
      </c>
      <c r="D354" s="2" t="s">
        <v>12</v>
      </c>
      <c r="E354" s="2" t="s">
        <v>14</v>
      </c>
      <c r="F354" s="2">
        <v>1</v>
      </c>
      <c r="G354" s="2">
        <v>278.5</v>
      </c>
      <c r="H354" s="2">
        <v>540.4</v>
      </c>
      <c r="I354" s="2">
        <v>51.5</v>
      </c>
      <c r="J354" s="2"/>
      <c r="K354" s="2"/>
      <c r="L354" s="2">
        <f t="shared" si="83"/>
        <v>0</v>
      </c>
      <c r="M354" s="2">
        <f t="shared" si="79"/>
        <v>0</v>
      </c>
      <c r="N354" s="2">
        <f t="shared" si="84"/>
        <v>0</v>
      </c>
      <c r="O354" s="2">
        <f t="shared" si="85"/>
        <v>0</v>
      </c>
      <c r="P354" s="2">
        <f t="shared" si="86"/>
        <v>0</v>
      </c>
      <c r="Q354" s="2">
        <f t="shared" si="87"/>
        <v>0</v>
      </c>
      <c r="R354" s="2">
        <f t="shared" si="82"/>
        <v>0</v>
      </c>
      <c r="S354" s="2">
        <f t="shared" si="77"/>
        <v>0</v>
      </c>
      <c r="T354" s="2">
        <f t="shared" si="88"/>
        <v>0</v>
      </c>
      <c r="U354" s="2">
        <f t="shared" si="80"/>
        <v>0</v>
      </c>
      <c r="V354" s="2">
        <f t="shared" si="78"/>
        <v>0</v>
      </c>
      <c r="W354" s="2">
        <f t="shared" si="81"/>
        <v>0</v>
      </c>
      <c r="X354" s="2" t="s">
        <v>1027</v>
      </c>
      <c r="Y354" s="2" t="s">
        <v>1028</v>
      </c>
      <c r="Z354" s="6" t="s">
        <v>1029</v>
      </c>
      <c r="AA354" s="2" t="s">
        <v>977</v>
      </c>
      <c r="AB354" s="2">
        <v>7</v>
      </c>
      <c r="AC354" s="9" t="s">
        <v>1071</v>
      </c>
      <c r="AD354" s="25" t="s">
        <v>1057</v>
      </c>
      <c r="AE354" s="9">
        <v>175</v>
      </c>
      <c r="AF354" s="9">
        <v>2.5</v>
      </c>
      <c r="AG354" s="9" t="s">
        <v>1036</v>
      </c>
      <c r="AH354" s="9" t="s">
        <v>1032</v>
      </c>
    </row>
    <row r="355" spans="1:34" ht="15.75" x14ac:dyDescent="0.25">
      <c r="A355" s="7">
        <v>45635</v>
      </c>
      <c r="B355" t="s">
        <v>702</v>
      </c>
      <c r="C355" t="s">
        <v>703</v>
      </c>
      <c r="D355" t="s">
        <v>12</v>
      </c>
      <c r="E355" t="s">
        <v>14</v>
      </c>
      <c r="F355">
        <v>2</v>
      </c>
      <c r="G355">
        <v>327</v>
      </c>
      <c r="H355">
        <v>595.4</v>
      </c>
      <c r="I355">
        <v>54.9</v>
      </c>
      <c r="L355">
        <f t="shared" si="83"/>
        <v>0</v>
      </c>
      <c r="M355">
        <f t="shared" si="79"/>
        <v>0</v>
      </c>
      <c r="N355">
        <f t="shared" si="84"/>
        <v>0</v>
      </c>
      <c r="O355">
        <f t="shared" si="85"/>
        <v>0</v>
      </c>
      <c r="P355">
        <f t="shared" si="86"/>
        <v>0</v>
      </c>
      <c r="Q355">
        <f t="shared" si="87"/>
        <v>0</v>
      </c>
      <c r="R355">
        <f t="shared" si="82"/>
        <v>0</v>
      </c>
      <c r="S355">
        <f t="shared" si="77"/>
        <v>0</v>
      </c>
      <c r="T355">
        <f t="shared" si="88"/>
        <v>0</v>
      </c>
      <c r="U355">
        <f t="shared" si="80"/>
        <v>0</v>
      </c>
      <c r="V355">
        <f t="shared" si="78"/>
        <v>0</v>
      </c>
      <c r="W355">
        <f t="shared" si="81"/>
        <v>0</v>
      </c>
      <c r="X355" t="s">
        <v>704</v>
      </c>
      <c r="Y355" t="s">
        <v>705</v>
      </c>
      <c r="Z355" s="3" t="s">
        <v>274</v>
      </c>
      <c r="AA355" t="s">
        <v>706</v>
      </c>
      <c r="AB355">
        <f>(24-16)+11</f>
        <v>19</v>
      </c>
      <c r="AC355" s="8" t="s">
        <v>1071</v>
      </c>
      <c r="AD355" s="8"/>
      <c r="AE355" s="8">
        <v>175</v>
      </c>
      <c r="AF355" s="8"/>
      <c r="AG355" s="8" t="s">
        <v>1035</v>
      </c>
      <c r="AH355" s="8" t="s">
        <v>1032</v>
      </c>
    </row>
    <row r="356" spans="1:34" x14ac:dyDescent="0.25">
      <c r="C356" t="s">
        <v>707</v>
      </c>
      <c r="D356" t="s">
        <v>12</v>
      </c>
      <c r="E356" t="s">
        <v>14</v>
      </c>
      <c r="F356">
        <v>2</v>
      </c>
      <c r="G356">
        <v>328.5</v>
      </c>
      <c r="H356">
        <v>600.4</v>
      </c>
      <c r="I356">
        <v>54.7</v>
      </c>
      <c r="L356">
        <f t="shared" si="83"/>
        <v>0</v>
      </c>
      <c r="M356">
        <f t="shared" si="79"/>
        <v>0</v>
      </c>
      <c r="N356">
        <f t="shared" si="84"/>
        <v>0</v>
      </c>
      <c r="O356">
        <f t="shared" si="85"/>
        <v>0</v>
      </c>
      <c r="P356">
        <f t="shared" si="86"/>
        <v>0</v>
      </c>
      <c r="Q356">
        <f t="shared" si="87"/>
        <v>0</v>
      </c>
      <c r="R356">
        <f t="shared" si="82"/>
        <v>0</v>
      </c>
      <c r="S356">
        <f t="shared" si="77"/>
        <v>0</v>
      </c>
      <c r="T356">
        <f t="shared" si="88"/>
        <v>0</v>
      </c>
      <c r="U356">
        <f t="shared" si="80"/>
        <v>0</v>
      </c>
      <c r="V356">
        <f t="shared" si="78"/>
        <v>0</v>
      </c>
      <c r="W356">
        <f t="shared" si="81"/>
        <v>0</v>
      </c>
      <c r="X356" t="s">
        <v>708</v>
      </c>
      <c r="Y356" t="s">
        <v>709</v>
      </c>
      <c r="Z356" s="3" t="s">
        <v>280</v>
      </c>
      <c r="AB356">
        <v>19</v>
      </c>
      <c r="AC356" s="8" t="s">
        <v>1071</v>
      </c>
      <c r="AD356" s="8"/>
      <c r="AE356" s="8">
        <v>175</v>
      </c>
      <c r="AF356" s="8"/>
      <c r="AG356" s="8" t="s">
        <v>1035</v>
      </c>
      <c r="AH356" s="8" t="s">
        <v>1032</v>
      </c>
    </row>
    <row r="357" spans="1:34" x14ac:dyDescent="0.25">
      <c r="C357" t="s">
        <v>710</v>
      </c>
      <c r="D357" t="s">
        <v>12</v>
      </c>
      <c r="E357" t="s">
        <v>14</v>
      </c>
      <c r="F357">
        <v>2</v>
      </c>
      <c r="G357">
        <v>309.5</v>
      </c>
      <c r="H357">
        <v>555.20000000000005</v>
      </c>
      <c r="I357">
        <v>55.7</v>
      </c>
      <c r="L357">
        <f t="shared" si="83"/>
        <v>0</v>
      </c>
      <c r="M357">
        <f t="shared" si="79"/>
        <v>0</v>
      </c>
      <c r="N357">
        <f t="shared" si="84"/>
        <v>0</v>
      </c>
      <c r="O357">
        <f t="shared" si="85"/>
        <v>0</v>
      </c>
      <c r="P357">
        <f t="shared" si="86"/>
        <v>0</v>
      </c>
      <c r="Q357">
        <f t="shared" si="87"/>
        <v>0</v>
      </c>
      <c r="R357">
        <f t="shared" si="82"/>
        <v>0</v>
      </c>
      <c r="S357">
        <f t="shared" si="77"/>
        <v>0</v>
      </c>
      <c r="T357">
        <f t="shared" si="88"/>
        <v>0</v>
      </c>
      <c r="U357">
        <f t="shared" si="80"/>
        <v>0</v>
      </c>
      <c r="V357">
        <f t="shared" si="78"/>
        <v>0</v>
      </c>
      <c r="W357">
        <f t="shared" si="81"/>
        <v>0</v>
      </c>
      <c r="X357" t="s">
        <v>711</v>
      </c>
      <c r="Y357" t="s">
        <v>712</v>
      </c>
      <c r="Z357" s="3" t="s">
        <v>283</v>
      </c>
      <c r="AA357" t="s">
        <v>713</v>
      </c>
      <c r="AB357">
        <v>19</v>
      </c>
      <c r="AC357" s="8" t="s">
        <v>1071</v>
      </c>
      <c r="AD357" s="8"/>
      <c r="AE357" s="8">
        <v>175</v>
      </c>
      <c r="AF357" s="8"/>
      <c r="AG357" s="8" t="s">
        <v>1035</v>
      </c>
      <c r="AH357" s="8" t="s">
        <v>1032</v>
      </c>
    </row>
    <row r="358" spans="1:34" x14ac:dyDescent="0.25">
      <c r="C358" t="s">
        <v>714</v>
      </c>
      <c r="D358" t="s">
        <v>12</v>
      </c>
      <c r="E358" t="s">
        <v>14</v>
      </c>
      <c r="F358">
        <v>2</v>
      </c>
      <c r="G358">
        <v>329.5</v>
      </c>
      <c r="H358">
        <v>603.20000000000005</v>
      </c>
      <c r="I358">
        <v>54.6</v>
      </c>
      <c r="K358" t="s">
        <v>715</v>
      </c>
      <c r="L358">
        <f t="shared" si="83"/>
        <v>1</v>
      </c>
      <c r="M358">
        <f t="shared" si="79"/>
        <v>0</v>
      </c>
      <c r="N358">
        <f t="shared" si="84"/>
        <v>0</v>
      </c>
      <c r="O358">
        <f t="shared" si="85"/>
        <v>0</v>
      </c>
      <c r="P358">
        <f t="shared" si="86"/>
        <v>0</v>
      </c>
      <c r="Q358">
        <f t="shared" si="87"/>
        <v>0</v>
      </c>
      <c r="R358">
        <f t="shared" si="82"/>
        <v>1</v>
      </c>
      <c r="S358">
        <f t="shared" si="77"/>
        <v>0</v>
      </c>
      <c r="T358">
        <f t="shared" si="88"/>
        <v>0</v>
      </c>
      <c r="U358">
        <f t="shared" si="80"/>
        <v>0</v>
      </c>
      <c r="V358">
        <f t="shared" si="78"/>
        <v>0</v>
      </c>
      <c r="W358">
        <f t="shared" si="81"/>
        <v>0</v>
      </c>
      <c r="X358" t="s">
        <v>716</v>
      </c>
      <c r="Y358" t="s">
        <v>717</v>
      </c>
      <c r="Z358" s="3" t="s">
        <v>718</v>
      </c>
      <c r="AA358" t="s">
        <v>719</v>
      </c>
      <c r="AB358">
        <v>19</v>
      </c>
      <c r="AC358" s="8" t="s">
        <v>1071</v>
      </c>
      <c r="AD358" s="8"/>
      <c r="AE358" s="8">
        <v>175</v>
      </c>
      <c r="AF358" s="8"/>
      <c r="AG358" s="8" t="s">
        <v>1035</v>
      </c>
      <c r="AH358" s="8" t="s">
        <v>1032</v>
      </c>
    </row>
    <row r="359" spans="1:34" x14ac:dyDescent="0.25">
      <c r="C359" t="s">
        <v>720</v>
      </c>
      <c r="D359" t="s">
        <v>12</v>
      </c>
      <c r="E359" t="s">
        <v>14</v>
      </c>
      <c r="F359">
        <v>2</v>
      </c>
      <c r="G359">
        <v>299</v>
      </c>
      <c r="H359">
        <v>584.79999999999995</v>
      </c>
      <c r="I359">
        <v>51.1</v>
      </c>
      <c r="K359" t="s">
        <v>715</v>
      </c>
      <c r="L359">
        <f t="shared" si="83"/>
        <v>1</v>
      </c>
      <c r="M359">
        <f t="shared" si="79"/>
        <v>0</v>
      </c>
      <c r="N359">
        <f t="shared" si="84"/>
        <v>0</v>
      </c>
      <c r="O359">
        <f t="shared" si="85"/>
        <v>0</v>
      </c>
      <c r="P359">
        <f t="shared" si="86"/>
        <v>0</v>
      </c>
      <c r="Q359">
        <f t="shared" si="87"/>
        <v>0</v>
      </c>
      <c r="R359">
        <f t="shared" si="82"/>
        <v>1</v>
      </c>
      <c r="S359">
        <f t="shared" si="77"/>
        <v>0</v>
      </c>
      <c r="T359">
        <f t="shared" si="88"/>
        <v>0</v>
      </c>
      <c r="U359">
        <f t="shared" si="80"/>
        <v>0</v>
      </c>
      <c r="V359">
        <f t="shared" si="78"/>
        <v>0</v>
      </c>
      <c r="W359">
        <f t="shared" si="81"/>
        <v>0</v>
      </c>
      <c r="X359" t="s">
        <v>721</v>
      </c>
      <c r="Y359" t="s">
        <v>722</v>
      </c>
      <c r="Z359" s="3" t="s">
        <v>723</v>
      </c>
      <c r="AB359">
        <v>19</v>
      </c>
      <c r="AC359" s="8" t="s">
        <v>1071</v>
      </c>
      <c r="AD359" s="8"/>
      <c r="AE359" s="8">
        <v>175</v>
      </c>
      <c r="AF359" s="8"/>
      <c r="AG359" s="8" t="s">
        <v>1035</v>
      </c>
      <c r="AH359" s="8" t="s">
        <v>1032</v>
      </c>
    </row>
    <row r="360" spans="1:34" x14ac:dyDescent="0.25">
      <c r="C360" t="s">
        <v>724</v>
      </c>
      <c r="D360" t="s">
        <v>12</v>
      </c>
      <c r="E360" t="s">
        <v>14</v>
      </c>
      <c r="F360">
        <v>2</v>
      </c>
      <c r="G360">
        <v>342.5</v>
      </c>
      <c r="H360">
        <v>656.2</v>
      </c>
      <c r="I360">
        <v>52.2</v>
      </c>
      <c r="L360">
        <f t="shared" si="83"/>
        <v>0</v>
      </c>
      <c r="M360">
        <f t="shared" si="79"/>
        <v>0</v>
      </c>
      <c r="N360">
        <f t="shared" si="84"/>
        <v>0</v>
      </c>
      <c r="O360">
        <f t="shared" si="85"/>
        <v>0</v>
      </c>
      <c r="P360">
        <f t="shared" si="86"/>
        <v>0</v>
      </c>
      <c r="Q360">
        <f t="shared" si="87"/>
        <v>0</v>
      </c>
      <c r="R360">
        <f t="shared" si="82"/>
        <v>0</v>
      </c>
      <c r="S360">
        <f t="shared" si="77"/>
        <v>0</v>
      </c>
      <c r="T360">
        <f t="shared" si="88"/>
        <v>0</v>
      </c>
      <c r="U360">
        <f t="shared" si="80"/>
        <v>0</v>
      </c>
      <c r="V360">
        <f t="shared" si="78"/>
        <v>0</v>
      </c>
      <c r="W360">
        <f t="shared" si="81"/>
        <v>0</v>
      </c>
      <c r="X360" t="s">
        <v>725</v>
      </c>
      <c r="Y360" t="s">
        <v>726</v>
      </c>
      <c r="Z360" s="3" t="s">
        <v>290</v>
      </c>
      <c r="AA360" t="s">
        <v>727</v>
      </c>
      <c r="AB360">
        <v>19</v>
      </c>
      <c r="AC360" s="8" t="s">
        <v>1071</v>
      </c>
      <c r="AD360" s="8"/>
      <c r="AE360" s="8">
        <v>175</v>
      </c>
      <c r="AF360" s="8"/>
      <c r="AG360" s="8" t="s">
        <v>1035</v>
      </c>
      <c r="AH360" s="8" t="s">
        <v>1032</v>
      </c>
    </row>
    <row r="361" spans="1:34" x14ac:dyDescent="0.25">
      <c r="C361" t="s">
        <v>598</v>
      </c>
      <c r="D361" t="s">
        <v>12</v>
      </c>
      <c r="E361" t="s">
        <v>14</v>
      </c>
      <c r="F361">
        <v>2</v>
      </c>
      <c r="G361">
        <v>321.5</v>
      </c>
      <c r="H361">
        <v>600.6</v>
      </c>
      <c r="I361">
        <v>53.5</v>
      </c>
      <c r="L361">
        <f t="shared" si="83"/>
        <v>0</v>
      </c>
      <c r="M361">
        <f t="shared" si="79"/>
        <v>0</v>
      </c>
      <c r="N361">
        <f t="shared" si="84"/>
        <v>0</v>
      </c>
      <c r="O361">
        <f t="shared" si="85"/>
        <v>0</v>
      </c>
      <c r="P361">
        <f t="shared" si="86"/>
        <v>0</v>
      </c>
      <c r="Q361">
        <f t="shared" si="87"/>
        <v>0</v>
      </c>
      <c r="R361">
        <f t="shared" si="82"/>
        <v>0</v>
      </c>
      <c r="S361">
        <f t="shared" si="77"/>
        <v>0</v>
      </c>
      <c r="T361">
        <f t="shared" si="88"/>
        <v>0</v>
      </c>
      <c r="U361">
        <f t="shared" si="80"/>
        <v>0</v>
      </c>
      <c r="V361">
        <f t="shared" si="78"/>
        <v>0</v>
      </c>
      <c r="W361">
        <f t="shared" si="81"/>
        <v>0</v>
      </c>
      <c r="X361" t="s">
        <v>728</v>
      </c>
      <c r="Y361" t="s">
        <v>729</v>
      </c>
      <c r="Z361" s="3" t="s">
        <v>292</v>
      </c>
      <c r="AA361" t="s">
        <v>706</v>
      </c>
      <c r="AB361">
        <v>19</v>
      </c>
      <c r="AC361" s="8" t="s">
        <v>1071</v>
      </c>
      <c r="AD361" s="8"/>
      <c r="AE361" s="8">
        <v>175</v>
      </c>
      <c r="AF361" s="8"/>
      <c r="AG361" s="8" t="s">
        <v>1035</v>
      </c>
      <c r="AH361" s="8" t="s">
        <v>1032</v>
      </c>
    </row>
    <row r="362" spans="1:34" x14ac:dyDescent="0.25">
      <c r="C362" t="s">
        <v>603</v>
      </c>
      <c r="D362" t="s">
        <v>12</v>
      </c>
      <c r="E362" t="s">
        <v>14</v>
      </c>
      <c r="F362">
        <v>2</v>
      </c>
      <c r="G362">
        <v>358</v>
      </c>
      <c r="H362">
        <v>683.4</v>
      </c>
      <c r="I362">
        <v>52.4</v>
      </c>
      <c r="L362">
        <f t="shared" si="83"/>
        <v>0</v>
      </c>
      <c r="M362">
        <f t="shared" si="79"/>
        <v>0</v>
      </c>
      <c r="N362">
        <f t="shared" si="84"/>
        <v>0</v>
      </c>
      <c r="O362">
        <f t="shared" si="85"/>
        <v>0</v>
      </c>
      <c r="P362">
        <f t="shared" si="86"/>
        <v>0</v>
      </c>
      <c r="Q362">
        <f t="shared" si="87"/>
        <v>0</v>
      </c>
      <c r="R362">
        <f t="shared" si="82"/>
        <v>0</v>
      </c>
      <c r="S362">
        <f t="shared" si="77"/>
        <v>0</v>
      </c>
      <c r="T362">
        <f t="shared" si="88"/>
        <v>0</v>
      </c>
      <c r="U362">
        <f t="shared" si="80"/>
        <v>0</v>
      </c>
      <c r="V362">
        <f t="shared" si="78"/>
        <v>0</v>
      </c>
      <c r="W362">
        <f t="shared" si="81"/>
        <v>0</v>
      </c>
      <c r="X362" t="s">
        <v>730</v>
      </c>
      <c r="Y362" t="s">
        <v>731</v>
      </c>
      <c r="Z362" s="3" t="s">
        <v>295</v>
      </c>
      <c r="AA362" t="s">
        <v>713</v>
      </c>
      <c r="AB362">
        <v>19</v>
      </c>
      <c r="AC362" s="8" t="s">
        <v>1071</v>
      </c>
      <c r="AD362" s="8"/>
      <c r="AE362" s="8">
        <v>175</v>
      </c>
      <c r="AF362" s="8"/>
      <c r="AG362" s="8" t="s">
        <v>1035</v>
      </c>
      <c r="AH362" s="8" t="s">
        <v>1032</v>
      </c>
    </row>
    <row r="363" spans="1:34" x14ac:dyDescent="0.25">
      <c r="C363" t="s">
        <v>607</v>
      </c>
      <c r="D363" t="s">
        <v>12</v>
      </c>
      <c r="E363" t="s">
        <v>14</v>
      </c>
      <c r="F363">
        <v>2</v>
      </c>
      <c r="G363">
        <v>322.5</v>
      </c>
      <c r="H363">
        <v>601.20000000000005</v>
      </c>
      <c r="I363">
        <v>53.6</v>
      </c>
      <c r="L363">
        <f t="shared" si="83"/>
        <v>0</v>
      </c>
      <c r="M363">
        <f t="shared" si="79"/>
        <v>0</v>
      </c>
      <c r="N363">
        <f t="shared" si="84"/>
        <v>0</v>
      </c>
      <c r="O363">
        <f t="shared" si="85"/>
        <v>0</v>
      </c>
      <c r="P363">
        <f t="shared" si="86"/>
        <v>0</v>
      </c>
      <c r="Q363">
        <f t="shared" si="87"/>
        <v>0</v>
      </c>
      <c r="R363">
        <f t="shared" si="82"/>
        <v>0</v>
      </c>
      <c r="S363">
        <f t="shared" si="77"/>
        <v>0</v>
      </c>
      <c r="T363">
        <f t="shared" si="88"/>
        <v>0</v>
      </c>
      <c r="U363">
        <f t="shared" si="80"/>
        <v>0</v>
      </c>
      <c r="V363">
        <f t="shared" si="78"/>
        <v>0</v>
      </c>
      <c r="W363">
        <f t="shared" si="81"/>
        <v>0</v>
      </c>
      <c r="X363" t="s">
        <v>732</v>
      </c>
      <c r="Y363" t="s">
        <v>731</v>
      </c>
      <c r="Z363" s="3" t="s">
        <v>298</v>
      </c>
      <c r="AA363" t="s">
        <v>719</v>
      </c>
      <c r="AB363">
        <v>19</v>
      </c>
      <c r="AC363" s="8" t="s">
        <v>1071</v>
      </c>
      <c r="AD363" s="8"/>
      <c r="AE363" s="8">
        <v>175</v>
      </c>
      <c r="AF363" s="8"/>
      <c r="AG363" s="8" t="s">
        <v>1035</v>
      </c>
      <c r="AH363" s="8" t="s">
        <v>1032</v>
      </c>
    </row>
    <row r="364" spans="1:34" x14ac:dyDescent="0.25">
      <c r="C364" t="s">
        <v>612</v>
      </c>
      <c r="D364" t="s">
        <v>12</v>
      </c>
      <c r="E364" t="s">
        <v>14</v>
      </c>
      <c r="F364">
        <v>2</v>
      </c>
      <c r="G364">
        <v>334.5</v>
      </c>
      <c r="H364">
        <v>641.4</v>
      </c>
      <c r="I364">
        <v>52.2</v>
      </c>
      <c r="L364">
        <f t="shared" si="83"/>
        <v>0</v>
      </c>
      <c r="M364">
        <f t="shared" si="79"/>
        <v>0</v>
      </c>
      <c r="N364">
        <f t="shared" si="84"/>
        <v>0</v>
      </c>
      <c r="O364">
        <f t="shared" si="85"/>
        <v>0</v>
      </c>
      <c r="P364">
        <f t="shared" si="86"/>
        <v>0</v>
      </c>
      <c r="Q364">
        <f t="shared" si="87"/>
        <v>0</v>
      </c>
      <c r="R364">
        <f t="shared" si="82"/>
        <v>0</v>
      </c>
      <c r="S364">
        <f t="shared" ref="S364:S394" si="89">IF(K364="Contaminated", 1, 0)</f>
        <v>0</v>
      </c>
      <c r="T364">
        <f t="shared" si="88"/>
        <v>0</v>
      </c>
      <c r="U364">
        <f t="shared" si="80"/>
        <v>0</v>
      </c>
      <c r="V364">
        <f t="shared" si="78"/>
        <v>0</v>
      </c>
      <c r="W364">
        <f t="shared" si="81"/>
        <v>0</v>
      </c>
      <c r="X364" t="s">
        <v>733</v>
      </c>
      <c r="Y364" t="s">
        <v>201</v>
      </c>
      <c r="Z364" s="3" t="s">
        <v>301</v>
      </c>
      <c r="AA364" t="s">
        <v>719</v>
      </c>
      <c r="AB364">
        <v>19</v>
      </c>
      <c r="AC364" s="8" t="s">
        <v>1071</v>
      </c>
      <c r="AD364" s="8"/>
      <c r="AE364" s="8">
        <v>175</v>
      </c>
      <c r="AF364" s="8"/>
      <c r="AG364" s="8" t="s">
        <v>1035</v>
      </c>
      <c r="AH364" s="8" t="s">
        <v>1032</v>
      </c>
    </row>
    <row r="365" spans="1:34" x14ac:dyDescent="0.25">
      <c r="C365" t="s">
        <v>615</v>
      </c>
      <c r="D365" t="s">
        <v>12</v>
      </c>
      <c r="E365" t="s">
        <v>14</v>
      </c>
      <c r="F365">
        <v>2</v>
      </c>
      <c r="G365">
        <v>335.5</v>
      </c>
      <c r="H365">
        <v>628.1</v>
      </c>
      <c r="I365">
        <v>53.4</v>
      </c>
      <c r="L365">
        <f t="shared" si="83"/>
        <v>0</v>
      </c>
      <c r="M365">
        <f t="shared" si="79"/>
        <v>0</v>
      </c>
      <c r="N365">
        <f t="shared" si="84"/>
        <v>0</v>
      </c>
      <c r="O365">
        <f t="shared" si="85"/>
        <v>0</v>
      </c>
      <c r="P365">
        <f t="shared" si="86"/>
        <v>0</v>
      </c>
      <c r="Q365">
        <f t="shared" si="87"/>
        <v>0</v>
      </c>
      <c r="R365">
        <f t="shared" si="82"/>
        <v>0</v>
      </c>
      <c r="S365">
        <f t="shared" si="89"/>
        <v>0</v>
      </c>
      <c r="T365">
        <f t="shared" si="88"/>
        <v>0</v>
      </c>
      <c r="U365">
        <f t="shared" si="80"/>
        <v>0</v>
      </c>
      <c r="V365">
        <f t="shared" si="78"/>
        <v>0</v>
      </c>
      <c r="W365">
        <f t="shared" si="81"/>
        <v>0</v>
      </c>
      <c r="X365" t="s">
        <v>734</v>
      </c>
      <c r="Y365" t="s">
        <v>735</v>
      </c>
      <c r="Z365" s="3" t="s">
        <v>303</v>
      </c>
      <c r="AA365" t="s">
        <v>727</v>
      </c>
      <c r="AB365">
        <v>19</v>
      </c>
      <c r="AC365" s="8" t="s">
        <v>1071</v>
      </c>
      <c r="AD365" s="8"/>
      <c r="AE365" s="8">
        <v>175</v>
      </c>
      <c r="AF365" s="8"/>
      <c r="AG365" s="8" t="s">
        <v>1035</v>
      </c>
      <c r="AH365" s="8" t="s">
        <v>1032</v>
      </c>
    </row>
    <row r="366" spans="1:34" x14ac:dyDescent="0.25">
      <c r="C366" t="s">
        <v>617</v>
      </c>
      <c r="D366" t="s">
        <v>12</v>
      </c>
      <c r="E366" t="s">
        <v>14</v>
      </c>
      <c r="F366">
        <v>2</v>
      </c>
      <c r="G366">
        <v>301.5</v>
      </c>
      <c r="H366">
        <v>563.9</v>
      </c>
      <c r="I366">
        <v>53.5</v>
      </c>
      <c r="L366">
        <f t="shared" si="83"/>
        <v>0</v>
      </c>
      <c r="M366">
        <f t="shared" si="79"/>
        <v>0</v>
      </c>
      <c r="N366">
        <f t="shared" si="84"/>
        <v>0</v>
      </c>
      <c r="O366">
        <f t="shared" si="85"/>
        <v>0</v>
      </c>
      <c r="P366">
        <f t="shared" si="86"/>
        <v>0</v>
      </c>
      <c r="Q366">
        <f t="shared" si="87"/>
        <v>0</v>
      </c>
      <c r="R366">
        <f t="shared" si="82"/>
        <v>0</v>
      </c>
      <c r="S366">
        <f t="shared" si="89"/>
        <v>0</v>
      </c>
      <c r="T366">
        <f t="shared" si="88"/>
        <v>0</v>
      </c>
      <c r="U366">
        <f t="shared" si="80"/>
        <v>0</v>
      </c>
      <c r="V366">
        <f t="shared" si="78"/>
        <v>0</v>
      </c>
      <c r="W366">
        <f t="shared" si="81"/>
        <v>0</v>
      </c>
      <c r="X366" t="s">
        <v>736</v>
      </c>
      <c r="Y366" t="s">
        <v>205</v>
      </c>
      <c r="Z366" s="3" t="s">
        <v>737</v>
      </c>
      <c r="AA366" t="s">
        <v>713</v>
      </c>
      <c r="AB366">
        <v>19</v>
      </c>
      <c r="AC366" s="8" t="s">
        <v>1071</v>
      </c>
      <c r="AD366" s="8"/>
      <c r="AE366" s="8">
        <v>175</v>
      </c>
      <c r="AF366" s="8"/>
      <c r="AG366" s="8" t="s">
        <v>1035</v>
      </c>
      <c r="AH366" s="8" t="s">
        <v>1032</v>
      </c>
    </row>
    <row r="367" spans="1:34" x14ac:dyDescent="0.25">
      <c r="C367" t="s">
        <v>620</v>
      </c>
      <c r="D367" t="s">
        <v>12</v>
      </c>
      <c r="E367" t="s">
        <v>14</v>
      </c>
      <c r="F367">
        <v>2</v>
      </c>
      <c r="G367">
        <v>329.5</v>
      </c>
      <c r="H367">
        <v>602</v>
      </c>
      <c r="I367">
        <v>54.7</v>
      </c>
      <c r="L367">
        <f t="shared" si="83"/>
        <v>0</v>
      </c>
      <c r="M367">
        <f t="shared" si="79"/>
        <v>0</v>
      </c>
      <c r="N367">
        <f t="shared" si="84"/>
        <v>0</v>
      </c>
      <c r="O367">
        <f t="shared" si="85"/>
        <v>0</v>
      </c>
      <c r="P367">
        <f t="shared" si="86"/>
        <v>0</v>
      </c>
      <c r="Q367">
        <f t="shared" si="87"/>
        <v>0</v>
      </c>
      <c r="R367">
        <f t="shared" si="82"/>
        <v>0</v>
      </c>
      <c r="S367">
        <f t="shared" si="89"/>
        <v>0</v>
      </c>
      <c r="T367">
        <f t="shared" si="88"/>
        <v>0</v>
      </c>
      <c r="U367">
        <f t="shared" si="80"/>
        <v>0</v>
      </c>
      <c r="V367">
        <f t="shared" si="78"/>
        <v>0</v>
      </c>
      <c r="W367">
        <f t="shared" si="81"/>
        <v>0</v>
      </c>
      <c r="X367" t="s">
        <v>738</v>
      </c>
      <c r="Y367" t="s">
        <v>205</v>
      </c>
      <c r="Z367" s="3" t="s">
        <v>739</v>
      </c>
      <c r="AA367" t="s">
        <v>719</v>
      </c>
      <c r="AB367">
        <v>19</v>
      </c>
      <c r="AC367" s="8" t="s">
        <v>1071</v>
      </c>
      <c r="AD367" s="8"/>
      <c r="AE367" s="8">
        <v>175</v>
      </c>
      <c r="AF367" s="8"/>
      <c r="AG367" s="8" t="s">
        <v>1035</v>
      </c>
      <c r="AH367" s="8" t="s">
        <v>1032</v>
      </c>
    </row>
    <row r="368" spans="1:34" x14ac:dyDescent="0.25">
      <c r="C368" t="s">
        <v>624</v>
      </c>
      <c r="D368" t="s">
        <v>12</v>
      </c>
      <c r="E368" t="s">
        <v>14</v>
      </c>
      <c r="F368">
        <v>2</v>
      </c>
      <c r="G368">
        <v>350.5</v>
      </c>
      <c r="H368">
        <v>648.70000000000005</v>
      </c>
      <c r="I368">
        <v>54</v>
      </c>
      <c r="L368">
        <f t="shared" si="83"/>
        <v>0</v>
      </c>
      <c r="M368">
        <f t="shared" si="79"/>
        <v>0</v>
      </c>
      <c r="N368">
        <f t="shared" si="84"/>
        <v>0</v>
      </c>
      <c r="O368">
        <f t="shared" si="85"/>
        <v>0</v>
      </c>
      <c r="P368">
        <f t="shared" si="86"/>
        <v>0</v>
      </c>
      <c r="Q368">
        <f t="shared" si="87"/>
        <v>0</v>
      </c>
      <c r="R368">
        <f t="shared" si="82"/>
        <v>0</v>
      </c>
      <c r="S368">
        <f t="shared" si="89"/>
        <v>0</v>
      </c>
      <c r="T368">
        <f t="shared" si="88"/>
        <v>0</v>
      </c>
      <c r="U368">
        <f t="shared" si="80"/>
        <v>0</v>
      </c>
      <c r="V368">
        <f t="shared" si="78"/>
        <v>0</v>
      </c>
      <c r="W368">
        <f t="shared" si="81"/>
        <v>0</v>
      </c>
      <c r="X368" t="s">
        <v>740</v>
      </c>
      <c r="Y368" t="s">
        <v>741</v>
      </c>
      <c r="Z368" s="3" t="s">
        <v>739</v>
      </c>
      <c r="AA368" t="s">
        <v>727</v>
      </c>
      <c r="AB368">
        <v>19</v>
      </c>
      <c r="AC368" s="8" t="s">
        <v>1071</v>
      </c>
      <c r="AD368" s="8"/>
      <c r="AE368" s="8">
        <v>175</v>
      </c>
      <c r="AF368" s="8"/>
      <c r="AG368" s="8" t="s">
        <v>1035</v>
      </c>
      <c r="AH368" s="8" t="s">
        <v>1032</v>
      </c>
    </row>
    <row r="369" spans="3:34" x14ac:dyDescent="0.25">
      <c r="C369" t="s">
        <v>629</v>
      </c>
      <c r="D369" t="s">
        <v>12</v>
      </c>
      <c r="E369" t="s">
        <v>14</v>
      </c>
      <c r="F369">
        <v>2</v>
      </c>
      <c r="G369">
        <v>319.5</v>
      </c>
      <c r="H369">
        <v>576.9</v>
      </c>
      <c r="I369">
        <v>55.4</v>
      </c>
      <c r="L369">
        <f t="shared" si="83"/>
        <v>0</v>
      </c>
      <c r="M369">
        <f t="shared" si="79"/>
        <v>0</v>
      </c>
      <c r="N369">
        <f t="shared" si="84"/>
        <v>0</v>
      </c>
      <c r="O369">
        <f t="shared" si="85"/>
        <v>0</v>
      </c>
      <c r="P369">
        <f t="shared" si="86"/>
        <v>0</v>
      </c>
      <c r="Q369">
        <f t="shared" si="87"/>
        <v>0</v>
      </c>
      <c r="R369">
        <f t="shared" si="82"/>
        <v>0</v>
      </c>
      <c r="S369">
        <f t="shared" si="89"/>
        <v>0</v>
      </c>
      <c r="T369">
        <f t="shared" si="88"/>
        <v>0</v>
      </c>
      <c r="U369">
        <f t="shared" si="80"/>
        <v>0</v>
      </c>
      <c r="V369">
        <f t="shared" si="78"/>
        <v>0</v>
      </c>
      <c r="W369">
        <f t="shared" si="81"/>
        <v>0</v>
      </c>
      <c r="X369" t="s">
        <v>742</v>
      </c>
      <c r="Y369" t="s">
        <v>743</v>
      </c>
      <c r="Z369" s="3" t="s">
        <v>744</v>
      </c>
      <c r="AA369" t="s">
        <v>727</v>
      </c>
      <c r="AB369">
        <v>19</v>
      </c>
      <c r="AC369" s="8" t="s">
        <v>1071</v>
      </c>
      <c r="AD369" s="8"/>
      <c r="AE369" s="8">
        <v>175</v>
      </c>
      <c r="AF369" s="8"/>
      <c r="AG369" s="8" t="s">
        <v>1035</v>
      </c>
      <c r="AH369" s="8" t="s">
        <v>1032</v>
      </c>
    </row>
    <row r="370" spans="3:34" x14ac:dyDescent="0.25">
      <c r="C370" t="s">
        <v>634</v>
      </c>
      <c r="D370" t="s">
        <v>12</v>
      </c>
      <c r="E370" t="s">
        <v>14</v>
      </c>
      <c r="F370">
        <v>2</v>
      </c>
      <c r="G370">
        <v>318</v>
      </c>
      <c r="H370">
        <v>584.70000000000005</v>
      </c>
      <c r="I370">
        <v>54.4</v>
      </c>
      <c r="L370">
        <f t="shared" si="83"/>
        <v>0</v>
      </c>
      <c r="M370">
        <f t="shared" si="79"/>
        <v>0</v>
      </c>
      <c r="N370">
        <f t="shared" si="84"/>
        <v>0</v>
      </c>
      <c r="O370">
        <f t="shared" si="85"/>
        <v>0</v>
      </c>
      <c r="P370">
        <f t="shared" si="86"/>
        <v>0</v>
      </c>
      <c r="Q370">
        <f t="shared" si="87"/>
        <v>0</v>
      </c>
      <c r="R370">
        <f t="shared" si="82"/>
        <v>0</v>
      </c>
      <c r="S370">
        <f t="shared" si="89"/>
        <v>0</v>
      </c>
      <c r="T370">
        <f t="shared" si="88"/>
        <v>0</v>
      </c>
      <c r="U370">
        <f t="shared" si="80"/>
        <v>0</v>
      </c>
      <c r="V370">
        <f t="shared" si="78"/>
        <v>0</v>
      </c>
      <c r="W370">
        <f t="shared" si="81"/>
        <v>0</v>
      </c>
      <c r="X370" t="s">
        <v>745</v>
      </c>
      <c r="Y370" t="s">
        <v>743</v>
      </c>
      <c r="Z370" s="3" t="s">
        <v>746</v>
      </c>
      <c r="AA370" t="s">
        <v>747</v>
      </c>
      <c r="AB370">
        <v>19</v>
      </c>
      <c r="AC370" s="8" t="s">
        <v>1071</v>
      </c>
      <c r="AD370" s="8"/>
      <c r="AE370" s="8">
        <v>175</v>
      </c>
      <c r="AF370" s="8"/>
      <c r="AG370" s="8" t="s">
        <v>1035</v>
      </c>
      <c r="AH370" s="8" t="s">
        <v>1032</v>
      </c>
    </row>
    <row r="371" spans="3:34" x14ac:dyDescent="0.25">
      <c r="C371" t="s">
        <v>638</v>
      </c>
      <c r="D371" t="s">
        <v>12</v>
      </c>
      <c r="E371" t="s">
        <v>14</v>
      </c>
      <c r="F371">
        <v>2</v>
      </c>
      <c r="G371">
        <v>321</v>
      </c>
      <c r="H371">
        <v>583.5</v>
      </c>
      <c r="I371">
        <v>55</v>
      </c>
      <c r="L371">
        <f t="shared" si="83"/>
        <v>0</v>
      </c>
      <c r="M371">
        <f t="shared" si="79"/>
        <v>0</v>
      </c>
      <c r="N371">
        <f t="shared" si="84"/>
        <v>0</v>
      </c>
      <c r="O371">
        <f t="shared" si="85"/>
        <v>0</v>
      </c>
      <c r="P371">
        <f t="shared" si="86"/>
        <v>0</v>
      </c>
      <c r="Q371">
        <f t="shared" si="87"/>
        <v>0</v>
      </c>
      <c r="R371">
        <f t="shared" si="82"/>
        <v>0</v>
      </c>
      <c r="S371">
        <f t="shared" si="89"/>
        <v>0</v>
      </c>
      <c r="T371">
        <f t="shared" si="88"/>
        <v>0</v>
      </c>
      <c r="U371">
        <f t="shared" si="80"/>
        <v>0</v>
      </c>
      <c r="V371">
        <f t="shared" si="78"/>
        <v>0</v>
      </c>
      <c r="W371">
        <f t="shared" si="81"/>
        <v>0</v>
      </c>
      <c r="X371" t="s">
        <v>748</v>
      </c>
      <c r="Y371" t="s">
        <v>600</v>
      </c>
      <c r="Z371" s="3" t="s">
        <v>601</v>
      </c>
      <c r="AA371" t="s">
        <v>719</v>
      </c>
      <c r="AB371">
        <v>19</v>
      </c>
      <c r="AC371" s="8" t="s">
        <v>1071</v>
      </c>
      <c r="AD371" s="8"/>
      <c r="AE371" s="8">
        <v>175</v>
      </c>
      <c r="AF371" s="8"/>
      <c r="AG371" s="8" t="s">
        <v>1035</v>
      </c>
      <c r="AH371" s="8" t="s">
        <v>1032</v>
      </c>
    </row>
    <row r="372" spans="3:34" x14ac:dyDescent="0.25">
      <c r="C372" t="s">
        <v>642</v>
      </c>
      <c r="D372" t="s">
        <v>12</v>
      </c>
      <c r="E372" t="s">
        <v>14</v>
      </c>
      <c r="F372">
        <v>2</v>
      </c>
      <c r="G372">
        <v>300.5</v>
      </c>
      <c r="H372">
        <v>545.4</v>
      </c>
      <c r="I372">
        <v>55.1</v>
      </c>
      <c r="L372">
        <f t="shared" si="83"/>
        <v>0</v>
      </c>
      <c r="M372">
        <f t="shared" si="79"/>
        <v>0</v>
      </c>
      <c r="N372">
        <f t="shared" si="84"/>
        <v>0</v>
      </c>
      <c r="O372">
        <f t="shared" si="85"/>
        <v>0</v>
      </c>
      <c r="P372">
        <f t="shared" si="86"/>
        <v>0</v>
      </c>
      <c r="Q372">
        <f t="shared" si="87"/>
        <v>0</v>
      </c>
      <c r="R372">
        <f t="shared" si="82"/>
        <v>0</v>
      </c>
      <c r="S372">
        <f t="shared" si="89"/>
        <v>0</v>
      </c>
      <c r="T372">
        <f t="shared" si="88"/>
        <v>0</v>
      </c>
      <c r="U372">
        <f t="shared" si="80"/>
        <v>0</v>
      </c>
      <c r="V372">
        <f t="shared" si="78"/>
        <v>0</v>
      </c>
      <c r="W372">
        <f t="shared" si="81"/>
        <v>0</v>
      </c>
      <c r="X372" t="s">
        <v>749</v>
      </c>
      <c r="Y372" t="s">
        <v>217</v>
      </c>
      <c r="Z372" s="3" t="s">
        <v>601</v>
      </c>
      <c r="AA372" t="s">
        <v>719</v>
      </c>
      <c r="AB372">
        <v>19</v>
      </c>
      <c r="AC372" s="8" t="s">
        <v>1071</v>
      </c>
      <c r="AD372" s="8"/>
      <c r="AE372" s="8">
        <v>175</v>
      </c>
      <c r="AF372" s="8"/>
      <c r="AG372" s="8" t="s">
        <v>1035</v>
      </c>
      <c r="AH372" s="8" t="s">
        <v>1032</v>
      </c>
    </row>
    <row r="373" spans="3:34" x14ac:dyDescent="0.25">
      <c r="C373" t="s">
        <v>645</v>
      </c>
      <c r="D373" t="s">
        <v>12</v>
      </c>
      <c r="E373" t="s">
        <v>14</v>
      </c>
      <c r="F373">
        <v>2</v>
      </c>
      <c r="G373">
        <v>300.5</v>
      </c>
      <c r="H373">
        <v>567.29999999999995</v>
      </c>
      <c r="I373">
        <v>53</v>
      </c>
      <c r="L373">
        <f t="shared" si="83"/>
        <v>0</v>
      </c>
      <c r="M373">
        <f t="shared" si="79"/>
        <v>0</v>
      </c>
      <c r="N373">
        <f t="shared" si="84"/>
        <v>0</v>
      </c>
      <c r="O373">
        <f t="shared" si="85"/>
        <v>0</v>
      </c>
      <c r="P373">
        <f t="shared" si="86"/>
        <v>0</v>
      </c>
      <c r="Q373">
        <f t="shared" si="87"/>
        <v>0</v>
      </c>
      <c r="R373">
        <f t="shared" si="82"/>
        <v>0</v>
      </c>
      <c r="S373">
        <f t="shared" si="89"/>
        <v>0</v>
      </c>
      <c r="T373">
        <f t="shared" si="88"/>
        <v>0</v>
      </c>
      <c r="U373">
        <f t="shared" si="80"/>
        <v>0</v>
      </c>
      <c r="V373">
        <f t="shared" si="78"/>
        <v>0</v>
      </c>
      <c r="W373">
        <f t="shared" si="81"/>
        <v>0</v>
      </c>
      <c r="X373" t="s">
        <v>750</v>
      </c>
      <c r="Y373" t="s">
        <v>609</v>
      </c>
      <c r="Z373" s="3" t="s">
        <v>605</v>
      </c>
      <c r="AA373" t="s">
        <v>719</v>
      </c>
      <c r="AB373">
        <v>19</v>
      </c>
      <c r="AC373" s="8" t="s">
        <v>1071</v>
      </c>
      <c r="AD373" s="8"/>
      <c r="AE373" s="8">
        <v>175</v>
      </c>
      <c r="AF373" s="8"/>
      <c r="AG373" s="8" t="s">
        <v>1035</v>
      </c>
      <c r="AH373" s="8" t="s">
        <v>1032</v>
      </c>
    </row>
    <row r="374" spans="3:34" x14ac:dyDescent="0.25">
      <c r="C374" t="s">
        <v>648</v>
      </c>
      <c r="D374" t="s">
        <v>12</v>
      </c>
      <c r="E374" t="s">
        <v>14</v>
      </c>
      <c r="F374">
        <v>2</v>
      </c>
      <c r="G374">
        <v>286.5</v>
      </c>
      <c r="H374">
        <v>516.4</v>
      </c>
      <c r="I374">
        <v>55.5</v>
      </c>
      <c r="L374">
        <f t="shared" si="83"/>
        <v>0</v>
      </c>
      <c r="M374">
        <f t="shared" si="79"/>
        <v>0</v>
      </c>
      <c r="N374">
        <f t="shared" si="84"/>
        <v>0</v>
      </c>
      <c r="O374">
        <f t="shared" si="85"/>
        <v>0</v>
      </c>
      <c r="P374">
        <f t="shared" si="86"/>
        <v>0</v>
      </c>
      <c r="Q374">
        <f t="shared" si="87"/>
        <v>0</v>
      </c>
      <c r="R374">
        <f t="shared" si="82"/>
        <v>0</v>
      </c>
      <c r="S374">
        <f t="shared" si="89"/>
        <v>0</v>
      </c>
      <c r="T374">
        <f t="shared" si="88"/>
        <v>0</v>
      </c>
      <c r="U374">
        <f t="shared" si="80"/>
        <v>0</v>
      </c>
      <c r="V374">
        <f t="shared" ref="V374:V394" si="90">IF(K374="Peritonitis", 1, 0)</f>
        <v>0</v>
      </c>
      <c r="W374">
        <f t="shared" si="81"/>
        <v>0</v>
      </c>
      <c r="X374" t="s">
        <v>751</v>
      </c>
      <c r="Y374" t="s">
        <v>222</v>
      </c>
      <c r="Z374" s="3" t="s">
        <v>610</v>
      </c>
      <c r="AA374" t="s">
        <v>727</v>
      </c>
      <c r="AB374">
        <v>19</v>
      </c>
      <c r="AC374" s="8" t="s">
        <v>1071</v>
      </c>
      <c r="AD374" s="8"/>
      <c r="AE374" s="8">
        <v>175</v>
      </c>
      <c r="AF374" s="8"/>
      <c r="AG374" s="8" t="s">
        <v>1035</v>
      </c>
      <c r="AH374" s="8" t="s">
        <v>1032</v>
      </c>
    </row>
    <row r="375" spans="3:34" x14ac:dyDescent="0.25">
      <c r="C375" t="s">
        <v>651</v>
      </c>
      <c r="D375" t="s">
        <v>12</v>
      </c>
      <c r="E375" t="s">
        <v>14</v>
      </c>
      <c r="F375">
        <v>2</v>
      </c>
      <c r="G375">
        <v>342.5</v>
      </c>
      <c r="H375">
        <v>649.20000000000005</v>
      </c>
      <c r="I375">
        <v>52.8</v>
      </c>
      <c r="K375" t="s">
        <v>715</v>
      </c>
      <c r="L375">
        <f t="shared" si="83"/>
        <v>1</v>
      </c>
      <c r="M375">
        <f t="shared" si="79"/>
        <v>0</v>
      </c>
      <c r="N375">
        <f t="shared" si="84"/>
        <v>0</v>
      </c>
      <c r="O375">
        <f t="shared" si="85"/>
        <v>0</v>
      </c>
      <c r="P375">
        <f t="shared" si="86"/>
        <v>0</v>
      </c>
      <c r="Q375">
        <f t="shared" si="87"/>
        <v>0</v>
      </c>
      <c r="R375">
        <f t="shared" si="82"/>
        <v>1</v>
      </c>
      <c r="S375">
        <f t="shared" si="89"/>
        <v>0</v>
      </c>
      <c r="T375">
        <f t="shared" si="88"/>
        <v>0</v>
      </c>
      <c r="U375">
        <f t="shared" si="80"/>
        <v>0</v>
      </c>
      <c r="V375">
        <f t="shared" si="90"/>
        <v>0</v>
      </c>
      <c r="W375">
        <f t="shared" si="81"/>
        <v>0</v>
      </c>
      <c r="X375" t="s">
        <v>752</v>
      </c>
      <c r="Y375" t="s">
        <v>229</v>
      </c>
      <c r="Z375" s="3" t="s">
        <v>753</v>
      </c>
      <c r="AA375" t="s">
        <v>719</v>
      </c>
      <c r="AB375">
        <v>19</v>
      </c>
      <c r="AC375" s="8" t="s">
        <v>1071</v>
      </c>
      <c r="AD375" s="8"/>
      <c r="AE375" s="8">
        <v>175</v>
      </c>
      <c r="AF375" s="8"/>
      <c r="AG375" s="8" t="s">
        <v>1035</v>
      </c>
      <c r="AH375" s="8" t="s">
        <v>1032</v>
      </c>
    </row>
    <row r="376" spans="3:34" x14ac:dyDescent="0.25">
      <c r="C376" t="s">
        <v>654</v>
      </c>
      <c r="D376" t="s">
        <v>12</v>
      </c>
      <c r="E376" t="s">
        <v>14</v>
      </c>
      <c r="F376">
        <v>2</v>
      </c>
      <c r="G376">
        <v>285.5</v>
      </c>
      <c r="H376">
        <v>547.1</v>
      </c>
      <c r="I376">
        <v>52.2</v>
      </c>
      <c r="L376">
        <f t="shared" si="83"/>
        <v>0</v>
      </c>
      <c r="M376">
        <f t="shared" si="79"/>
        <v>0</v>
      </c>
      <c r="N376">
        <f t="shared" si="84"/>
        <v>0</v>
      </c>
      <c r="O376">
        <f t="shared" si="85"/>
        <v>0</v>
      </c>
      <c r="P376">
        <f t="shared" si="86"/>
        <v>0</v>
      </c>
      <c r="Q376">
        <f t="shared" si="87"/>
        <v>0</v>
      </c>
      <c r="R376">
        <f t="shared" si="82"/>
        <v>0</v>
      </c>
      <c r="S376">
        <f t="shared" si="89"/>
        <v>0</v>
      </c>
      <c r="T376">
        <f t="shared" si="88"/>
        <v>0</v>
      </c>
      <c r="U376">
        <f t="shared" si="80"/>
        <v>0</v>
      </c>
      <c r="V376">
        <f t="shared" si="90"/>
        <v>0</v>
      </c>
      <c r="W376">
        <f t="shared" si="81"/>
        <v>0</v>
      </c>
      <c r="X376" t="s">
        <v>754</v>
      </c>
      <c r="Y376" t="s">
        <v>622</v>
      </c>
      <c r="Z376" s="3" t="s">
        <v>619</v>
      </c>
      <c r="AA376" t="s">
        <v>755</v>
      </c>
      <c r="AB376">
        <v>19</v>
      </c>
      <c r="AC376" s="8" t="s">
        <v>1071</v>
      </c>
      <c r="AD376" s="8"/>
      <c r="AE376" s="8">
        <v>175</v>
      </c>
      <c r="AF376" s="8"/>
      <c r="AG376" s="8" t="s">
        <v>1035</v>
      </c>
      <c r="AH376" s="8" t="s">
        <v>1032</v>
      </c>
    </row>
    <row r="377" spans="3:34" x14ac:dyDescent="0.25">
      <c r="C377" t="s">
        <v>657</v>
      </c>
      <c r="D377" t="s">
        <v>12</v>
      </c>
      <c r="E377" t="s">
        <v>14</v>
      </c>
      <c r="F377">
        <v>2</v>
      </c>
      <c r="G377">
        <v>369</v>
      </c>
      <c r="H377">
        <v>675.1</v>
      </c>
      <c r="I377">
        <v>54.7</v>
      </c>
      <c r="L377">
        <f t="shared" si="83"/>
        <v>0</v>
      </c>
      <c r="M377">
        <f t="shared" si="79"/>
        <v>0</v>
      </c>
      <c r="N377">
        <f t="shared" si="84"/>
        <v>0</v>
      </c>
      <c r="O377">
        <f t="shared" si="85"/>
        <v>0</v>
      </c>
      <c r="P377">
        <f t="shared" si="86"/>
        <v>0</v>
      </c>
      <c r="Q377">
        <f t="shared" si="87"/>
        <v>0</v>
      </c>
      <c r="R377">
        <f t="shared" si="82"/>
        <v>0</v>
      </c>
      <c r="S377">
        <f t="shared" si="89"/>
        <v>0</v>
      </c>
      <c r="T377">
        <f t="shared" si="88"/>
        <v>0</v>
      </c>
      <c r="U377">
        <f t="shared" si="80"/>
        <v>0</v>
      </c>
      <c r="V377">
        <f t="shared" si="90"/>
        <v>0</v>
      </c>
      <c r="W377">
        <f t="shared" si="81"/>
        <v>0</v>
      </c>
      <c r="X377" t="s">
        <v>756</v>
      </c>
      <c r="Y377" t="s">
        <v>626</v>
      </c>
      <c r="Z377" s="3" t="s">
        <v>757</v>
      </c>
      <c r="AA377" t="s">
        <v>713</v>
      </c>
      <c r="AB377">
        <v>19</v>
      </c>
      <c r="AC377" s="8" t="s">
        <v>1071</v>
      </c>
      <c r="AD377" s="8"/>
      <c r="AE377" s="8">
        <v>175</v>
      </c>
      <c r="AF377" s="8"/>
      <c r="AG377" s="8" t="s">
        <v>1035</v>
      </c>
      <c r="AH377" s="8" t="s">
        <v>1032</v>
      </c>
    </row>
    <row r="378" spans="3:34" x14ac:dyDescent="0.25">
      <c r="C378" t="s">
        <v>660</v>
      </c>
      <c r="D378" t="s">
        <v>12</v>
      </c>
      <c r="E378" t="s">
        <v>14</v>
      </c>
      <c r="F378">
        <v>2</v>
      </c>
      <c r="G378">
        <v>310.5</v>
      </c>
      <c r="H378">
        <v>574.29999999999995</v>
      </c>
      <c r="I378">
        <v>54.1</v>
      </c>
      <c r="L378">
        <f t="shared" si="83"/>
        <v>0</v>
      </c>
      <c r="M378">
        <f t="shared" si="79"/>
        <v>0</v>
      </c>
      <c r="N378">
        <f t="shared" si="84"/>
        <v>0</v>
      </c>
      <c r="O378">
        <f t="shared" si="85"/>
        <v>0</v>
      </c>
      <c r="P378">
        <f t="shared" si="86"/>
        <v>0</v>
      </c>
      <c r="Q378">
        <f t="shared" si="87"/>
        <v>0</v>
      </c>
      <c r="R378">
        <f t="shared" si="82"/>
        <v>0</v>
      </c>
      <c r="S378">
        <f t="shared" si="89"/>
        <v>0</v>
      </c>
      <c r="T378">
        <f t="shared" si="88"/>
        <v>0</v>
      </c>
      <c r="U378">
        <f t="shared" si="80"/>
        <v>0</v>
      </c>
      <c r="V378">
        <f t="shared" si="90"/>
        <v>0</v>
      </c>
      <c r="W378">
        <f t="shared" si="81"/>
        <v>0</v>
      </c>
      <c r="X378" t="s">
        <v>758</v>
      </c>
      <c r="Y378" t="s">
        <v>631</v>
      </c>
      <c r="Z378" s="3" t="s">
        <v>627</v>
      </c>
      <c r="AA378" t="s">
        <v>719</v>
      </c>
      <c r="AB378">
        <v>19</v>
      </c>
      <c r="AC378" s="8" t="s">
        <v>1071</v>
      </c>
      <c r="AD378" s="8"/>
      <c r="AE378" s="8">
        <v>175</v>
      </c>
      <c r="AF378" s="8"/>
      <c r="AG378" s="8" t="s">
        <v>1035</v>
      </c>
      <c r="AH378" s="8" t="s">
        <v>1032</v>
      </c>
    </row>
    <row r="379" spans="3:34" x14ac:dyDescent="0.25">
      <c r="C379" t="s">
        <v>663</v>
      </c>
      <c r="D379" t="s">
        <v>12</v>
      </c>
      <c r="E379" t="s">
        <v>14</v>
      </c>
      <c r="F379">
        <v>2</v>
      </c>
      <c r="G379">
        <v>330.5</v>
      </c>
      <c r="H379">
        <v>614.79999999999995</v>
      </c>
      <c r="I379">
        <v>53.8</v>
      </c>
      <c r="L379">
        <f t="shared" si="83"/>
        <v>0</v>
      </c>
      <c r="M379">
        <f t="shared" si="79"/>
        <v>0</v>
      </c>
      <c r="N379">
        <f t="shared" si="84"/>
        <v>0</v>
      </c>
      <c r="O379">
        <f t="shared" si="85"/>
        <v>0</v>
      </c>
      <c r="P379">
        <f t="shared" si="86"/>
        <v>0</v>
      </c>
      <c r="Q379">
        <f t="shared" si="87"/>
        <v>0</v>
      </c>
      <c r="R379">
        <f t="shared" si="82"/>
        <v>0</v>
      </c>
      <c r="S379">
        <f t="shared" si="89"/>
        <v>0</v>
      </c>
      <c r="T379">
        <f t="shared" si="88"/>
        <v>0</v>
      </c>
      <c r="U379">
        <f t="shared" si="80"/>
        <v>0</v>
      </c>
      <c r="V379">
        <f t="shared" si="90"/>
        <v>0</v>
      </c>
      <c r="W379">
        <f t="shared" si="81"/>
        <v>0</v>
      </c>
      <c r="X379" t="s">
        <v>759</v>
      </c>
      <c r="Y379" t="s">
        <v>636</v>
      </c>
      <c r="Z379" s="3" t="s">
        <v>627</v>
      </c>
      <c r="AA379" t="s">
        <v>727</v>
      </c>
      <c r="AB379">
        <v>19</v>
      </c>
      <c r="AC379" s="8" t="s">
        <v>1071</v>
      </c>
      <c r="AD379" s="8"/>
      <c r="AE379" s="8">
        <v>175</v>
      </c>
      <c r="AF379" s="8"/>
      <c r="AG379" s="8" t="s">
        <v>1035</v>
      </c>
      <c r="AH379" s="8" t="s">
        <v>1032</v>
      </c>
    </row>
    <row r="380" spans="3:34" x14ac:dyDescent="0.25">
      <c r="C380" t="s">
        <v>665</v>
      </c>
      <c r="D380" t="s">
        <v>12</v>
      </c>
      <c r="E380" t="s">
        <v>14</v>
      </c>
      <c r="F380">
        <v>2</v>
      </c>
      <c r="G380">
        <v>325.5</v>
      </c>
      <c r="H380">
        <v>586.29999999999995</v>
      </c>
      <c r="I380">
        <v>55.5</v>
      </c>
      <c r="L380">
        <f t="shared" si="83"/>
        <v>0</v>
      </c>
      <c r="M380">
        <f t="shared" si="79"/>
        <v>0</v>
      </c>
      <c r="N380">
        <f t="shared" si="84"/>
        <v>0</v>
      </c>
      <c r="O380">
        <f t="shared" si="85"/>
        <v>0</v>
      </c>
      <c r="P380">
        <f t="shared" si="86"/>
        <v>0</v>
      </c>
      <c r="Q380">
        <f t="shared" si="87"/>
        <v>0</v>
      </c>
      <c r="R380">
        <f t="shared" si="82"/>
        <v>0</v>
      </c>
      <c r="S380">
        <f t="shared" si="89"/>
        <v>0</v>
      </c>
      <c r="T380">
        <f t="shared" si="88"/>
        <v>0</v>
      </c>
      <c r="U380">
        <f t="shared" si="80"/>
        <v>0</v>
      </c>
      <c r="V380">
        <f t="shared" si="90"/>
        <v>0</v>
      </c>
      <c r="W380">
        <f t="shared" si="81"/>
        <v>0</v>
      </c>
      <c r="X380" t="s">
        <v>760</v>
      </c>
      <c r="Y380" t="s">
        <v>640</v>
      </c>
      <c r="Z380" s="3" t="s">
        <v>761</v>
      </c>
      <c r="AA380" t="s">
        <v>727</v>
      </c>
      <c r="AB380">
        <v>19</v>
      </c>
      <c r="AC380" s="8" t="s">
        <v>1071</v>
      </c>
      <c r="AD380" s="8"/>
      <c r="AE380" s="8">
        <v>175</v>
      </c>
      <c r="AF380" s="8"/>
      <c r="AG380" s="8" t="s">
        <v>1035</v>
      </c>
      <c r="AH380" s="8" t="s">
        <v>1032</v>
      </c>
    </row>
    <row r="381" spans="3:34" x14ac:dyDescent="0.25">
      <c r="C381" t="s">
        <v>669</v>
      </c>
      <c r="D381" t="s">
        <v>12</v>
      </c>
      <c r="E381" t="s">
        <v>14</v>
      </c>
      <c r="F381">
        <v>2</v>
      </c>
      <c r="G381">
        <v>312.5</v>
      </c>
      <c r="H381">
        <v>567.9</v>
      </c>
      <c r="I381">
        <v>55</v>
      </c>
      <c r="L381">
        <f t="shared" si="83"/>
        <v>0</v>
      </c>
      <c r="M381">
        <f t="shared" si="79"/>
        <v>0</v>
      </c>
      <c r="N381">
        <f t="shared" si="84"/>
        <v>0</v>
      </c>
      <c r="O381">
        <f t="shared" si="85"/>
        <v>0</v>
      </c>
      <c r="P381">
        <f t="shared" si="86"/>
        <v>0</v>
      </c>
      <c r="Q381">
        <f t="shared" si="87"/>
        <v>0</v>
      </c>
      <c r="R381">
        <f t="shared" si="82"/>
        <v>0</v>
      </c>
      <c r="S381">
        <f t="shared" si="89"/>
        <v>0</v>
      </c>
      <c r="T381">
        <f t="shared" si="88"/>
        <v>0</v>
      </c>
      <c r="U381">
        <f t="shared" si="80"/>
        <v>0</v>
      </c>
      <c r="V381">
        <f t="shared" si="90"/>
        <v>0</v>
      </c>
      <c r="W381">
        <f t="shared" si="81"/>
        <v>0</v>
      </c>
      <c r="X381" t="s">
        <v>762</v>
      </c>
      <c r="Y381" t="s">
        <v>644</v>
      </c>
      <c r="Z381" s="3" t="s">
        <v>637</v>
      </c>
      <c r="AA381" t="s">
        <v>755</v>
      </c>
      <c r="AB381">
        <v>19</v>
      </c>
      <c r="AC381" s="8" t="s">
        <v>1071</v>
      </c>
      <c r="AD381" s="8"/>
      <c r="AE381" s="8">
        <v>175</v>
      </c>
      <c r="AF381" s="8"/>
      <c r="AG381" s="8" t="s">
        <v>1035</v>
      </c>
      <c r="AH381" s="8" t="s">
        <v>1032</v>
      </c>
    </row>
    <row r="382" spans="3:34" x14ac:dyDescent="0.25">
      <c r="C382" t="s">
        <v>671</v>
      </c>
      <c r="D382" t="s">
        <v>12</v>
      </c>
      <c r="E382" t="s">
        <v>14</v>
      </c>
      <c r="F382">
        <v>2</v>
      </c>
      <c r="G382">
        <v>350.5</v>
      </c>
      <c r="H382">
        <v>644.6</v>
      </c>
      <c r="I382">
        <v>54.4</v>
      </c>
      <c r="L382">
        <f t="shared" si="83"/>
        <v>0</v>
      </c>
      <c r="M382">
        <f t="shared" si="79"/>
        <v>0</v>
      </c>
      <c r="N382">
        <f t="shared" si="84"/>
        <v>0</v>
      </c>
      <c r="O382">
        <f t="shared" si="85"/>
        <v>0</v>
      </c>
      <c r="P382">
        <f t="shared" si="86"/>
        <v>0</v>
      </c>
      <c r="Q382">
        <f t="shared" si="87"/>
        <v>0</v>
      </c>
      <c r="R382">
        <f t="shared" si="82"/>
        <v>0</v>
      </c>
      <c r="S382">
        <f t="shared" si="89"/>
        <v>0</v>
      </c>
      <c r="T382">
        <f t="shared" si="88"/>
        <v>0</v>
      </c>
      <c r="U382">
        <f t="shared" si="80"/>
        <v>0</v>
      </c>
      <c r="V382">
        <f t="shared" si="90"/>
        <v>0</v>
      </c>
      <c r="W382">
        <f t="shared" si="81"/>
        <v>0</v>
      </c>
      <c r="X382" t="s">
        <v>763</v>
      </c>
      <c r="Y382" t="s">
        <v>650</v>
      </c>
      <c r="Z382" s="3" t="s">
        <v>641</v>
      </c>
      <c r="AA382" t="s">
        <v>706</v>
      </c>
      <c r="AB382">
        <v>19</v>
      </c>
      <c r="AC382" s="8" t="s">
        <v>1071</v>
      </c>
      <c r="AD382" s="8"/>
      <c r="AE382" s="8">
        <v>175</v>
      </c>
      <c r="AF382" s="8"/>
      <c r="AG382" s="8" t="s">
        <v>1035</v>
      </c>
      <c r="AH382" s="8" t="s">
        <v>1032</v>
      </c>
    </row>
    <row r="383" spans="3:34" x14ac:dyDescent="0.25">
      <c r="C383" t="s">
        <v>674</v>
      </c>
      <c r="D383" t="s">
        <v>12</v>
      </c>
      <c r="E383" t="s">
        <v>14</v>
      </c>
      <c r="F383">
        <v>2</v>
      </c>
      <c r="G383">
        <v>328</v>
      </c>
      <c r="H383">
        <v>620.1</v>
      </c>
      <c r="I383">
        <v>52.9</v>
      </c>
      <c r="K383" t="s">
        <v>715</v>
      </c>
      <c r="L383">
        <f t="shared" si="83"/>
        <v>1</v>
      </c>
      <c r="M383">
        <f t="shared" si="79"/>
        <v>0</v>
      </c>
      <c r="N383">
        <f t="shared" si="84"/>
        <v>0</v>
      </c>
      <c r="O383">
        <f t="shared" si="85"/>
        <v>0</v>
      </c>
      <c r="P383">
        <f t="shared" si="86"/>
        <v>0</v>
      </c>
      <c r="Q383">
        <f t="shared" si="87"/>
        <v>0</v>
      </c>
      <c r="R383">
        <f t="shared" si="82"/>
        <v>1</v>
      </c>
      <c r="S383">
        <f t="shared" si="89"/>
        <v>0</v>
      </c>
      <c r="T383">
        <f t="shared" si="88"/>
        <v>0</v>
      </c>
      <c r="U383">
        <f t="shared" si="80"/>
        <v>0</v>
      </c>
      <c r="V383">
        <f t="shared" si="90"/>
        <v>0</v>
      </c>
      <c r="W383">
        <f t="shared" si="81"/>
        <v>0</v>
      </c>
      <c r="X383" t="s">
        <v>764</v>
      </c>
      <c r="Y383" t="s">
        <v>653</v>
      </c>
      <c r="Z383" s="3" t="s">
        <v>74</v>
      </c>
      <c r="AA383" t="s">
        <v>727</v>
      </c>
      <c r="AB383">
        <v>19</v>
      </c>
      <c r="AC383" s="8" t="s">
        <v>1071</v>
      </c>
      <c r="AD383" s="8"/>
      <c r="AE383" s="8">
        <v>175</v>
      </c>
      <c r="AF383" s="8"/>
      <c r="AG383" s="8" t="s">
        <v>1035</v>
      </c>
      <c r="AH383" s="8" t="s">
        <v>1032</v>
      </c>
    </row>
    <row r="384" spans="3:34" x14ac:dyDescent="0.25">
      <c r="C384" t="s">
        <v>677</v>
      </c>
      <c r="D384" t="s">
        <v>12</v>
      </c>
      <c r="E384" t="s">
        <v>14</v>
      </c>
      <c r="F384">
        <v>2</v>
      </c>
      <c r="G384">
        <v>335.5</v>
      </c>
      <c r="H384">
        <v>599.79999999999995</v>
      </c>
      <c r="I384">
        <v>55.9</v>
      </c>
      <c r="L384">
        <f t="shared" si="83"/>
        <v>0</v>
      </c>
      <c r="M384">
        <f t="shared" si="79"/>
        <v>0</v>
      </c>
      <c r="N384">
        <f t="shared" si="84"/>
        <v>0</v>
      </c>
      <c r="O384">
        <f t="shared" si="85"/>
        <v>0</v>
      </c>
      <c r="P384">
        <f t="shared" si="86"/>
        <v>0</v>
      </c>
      <c r="Q384">
        <f t="shared" si="87"/>
        <v>0</v>
      </c>
      <c r="R384">
        <f t="shared" si="82"/>
        <v>0</v>
      </c>
      <c r="S384">
        <f t="shared" si="89"/>
        <v>0</v>
      </c>
      <c r="T384">
        <f t="shared" si="88"/>
        <v>0</v>
      </c>
      <c r="U384">
        <f t="shared" si="80"/>
        <v>0</v>
      </c>
      <c r="V384">
        <f t="shared" si="90"/>
        <v>0</v>
      </c>
      <c r="W384">
        <f t="shared" si="81"/>
        <v>0</v>
      </c>
      <c r="X384" t="s">
        <v>765</v>
      </c>
      <c r="Y384" t="s">
        <v>766</v>
      </c>
      <c r="Z384" s="3" t="s">
        <v>753</v>
      </c>
      <c r="AA384" t="s">
        <v>747</v>
      </c>
      <c r="AB384">
        <v>19</v>
      </c>
      <c r="AC384" s="8" t="s">
        <v>1071</v>
      </c>
      <c r="AD384" s="8"/>
      <c r="AE384" s="8">
        <v>175</v>
      </c>
      <c r="AF384" s="8"/>
      <c r="AG384" s="8" t="s">
        <v>1035</v>
      </c>
      <c r="AH384" s="8" t="s">
        <v>1032</v>
      </c>
    </row>
    <row r="385" spans="1:35" x14ac:dyDescent="0.25">
      <c r="C385" t="s">
        <v>680</v>
      </c>
      <c r="D385" t="s">
        <v>12</v>
      </c>
      <c r="E385" t="s">
        <v>14</v>
      </c>
      <c r="F385">
        <v>2</v>
      </c>
      <c r="G385">
        <v>320.5</v>
      </c>
      <c r="H385">
        <v>573.6</v>
      </c>
      <c r="I385">
        <v>55.9</v>
      </c>
      <c r="L385">
        <f t="shared" si="83"/>
        <v>0</v>
      </c>
      <c r="M385">
        <f t="shared" si="79"/>
        <v>0</v>
      </c>
      <c r="N385">
        <f t="shared" si="84"/>
        <v>0</v>
      </c>
      <c r="O385">
        <f t="shared" si="85"/>
        <v>0</v>
      </c>
      <c r="P385">
        <f t="shared" si="86"/>
        <v>0</v>
      </c>
      <c r="Q385">
        <f t="shared" si="87"/>
        <v>0</v>
      </c>
      <c r="R385">
        <f t="shared" si="82"/>
        <v>0</v>
      </c>
      <c r="S385">
        <f t="shared" si="89"/>
        <v>0</v>
      </c>
      <c r="T385">
        <f t="shared" si="88"/>
        <v>0</v>
      </c>
      <c r="U385">
        <f t="shared" si="80"/>
        <v>0</v>
      </c>
      <c r="V385">
        <f t="shared" si="90"/>
        <v>0</v>
      </c>
      <c r="W385">
        <f t="shared" si="81"/>
        <v>0</v>
      </c>
      <c r="X385" t="s">
        <v>767</v>
      </c>
      <c r="Y385" t="s">
        <v>656</v>
      </c>
      <c r="Z385" s="3" t="s">
        <v>494</v>
      </c>
      <c r="AA385" t="s">
        <v>719</v>
      </c>
      <c r="AB385">
        <v>19</v>
      </c>
      <c r="AC385" s="8" t="s">
        <v>1071</v>
      </c>
      <c r="AD385" s="8"/>
      <c r="AE385" s="8">
        <v>175</v>
      </c>
      <c r="AF385" s="8"/>
      <c r="AG385" s="8" t="s">
        <v>1035</v>
      </c>
      <c r="AH385" s="8" t="s">
        <v>1032</v>
      </c>
    </row>
    <row r="386" spans="1:35" x14ac:dyDescent="0.25">
      <c r="C386" t="s">
        <v>683</v>
      </c>
      <c r="D386" t="s">
        <v>12</v>
      </c>
      <c r="E386" t="s">
        <v>14</v>
      </c>
      <c r="F386">
        <v>2</v>
      </c>
      <c r="G386">
        <v>332.5</v>
      </c>
      <c r="H386">
        <v>624.4</v>
      </c>
      <c r="I386">
        <v>53.3</v>
      </c>
      <c r="K386" t="s">
        <v>715</v>
      </c>
      <c r="L386">
        <f t="shared" si="83"/>
        <v>1</v>
      </c>
      <c r="M386">
        <f t="shared" ref="M386:M394" si="91">IF(K386="Arthritis", 1, 0)</f>
        <v>0</v>
      </c>
      <c r="N386">
        <f t="shared" si="84"/>
        <v>0</v>
      </c>
      <c r="O386">
        <f t="shared" si="85"/>
        <v>0</v>
      </c>
      <c r="P386">
        <f t="shared" si="86"/>
        <v>0</v>
      </c>
      <c r="Q386">
        <f t="shared" si="87"/>
        <v>0</v>
      </c>
      <c r="R386">
        <f t="shared" si="82"/>
        <v>1</v>
      </c>
      <c r="S386">
        <f t="shared" si="89"/>
        <v>0</v>
      </c>
      <c r="T386">
        <f t="shared" si="88"/>
        <v>0</v>
      </c>
      <c r="U386">
        <f t="shared" si="80"/>
        <v>0</v>
      </c>
      <c r="V386">
        <f t="shared" si="90"/>
        <v>0</v>
      </c>
      <c r="W386">
        <f t="shared" si="81"/>
        <v>0</v>
      </c>
      <c r="X386" t="s">
        <v>768</v>
      </c>
      <c r="Y386" t="s">
        <v>656</v>
      </c>
      <c r="Z386" s="3" t="s">
        <v>88</v>
      </c>
      <c r="AA386" t="s">
        <v>719</v>
      </c>
      <c r="AB386">
        <v>19</v>
      </c>
      <c r="AC386" s="8" t="s">
        <v>1071</v>
      </c>
      <c r="AD386" s="8"/>
      <c r="AE386" s="8">
        <v>175</v>
      </c>
      <c r="AF386" s="8"/>
      <c r="AG386" s="8" t="s">
        <v>1035</v>
      </c>
      <c r="AH386" s="8" t="s">
        <v>1032</v>
      </c>
    </row>
    <row r="387" spans="1:35" x14ac:dyDescent="0.25">
      <c r="C387" t="s">
        <v>685</v>
      </c>
      <c r="D387" t="s">
        <v>12</v>
      </c>
      <c r="E387" t="s">
        <v>14</v>
      </c>
      <c r="F387">
        <v>2</v>
      </c>
      <c r="G387">
        <v>314</v>
      </c>
      <c r="H387">
        <v>606.70000000000005</v>
      </c>
      <c r="I387">
        <v>51.8</v>
      </c>
      <c r="L387">
        <f t="shared" si="83"/>
        <v>0</v>
      </c>
      <c r="M387">
        <f t="shared" si="91"/>
        <v>0</v>
      </c>
      <c r="N387">
        <f t="shared" si="84"/>
        <v>0</v>
      </c>
      <c r="O387">
        <f t="shared" si="85"/>
        <v>0</v>
      </c>
      <c r="P387">
        <f t="shared" si="86"/>
        <v>0</v>
      </c>
      <c r="Q387">
        <f t="shared" si="87"/>
        <v>0</v>
      </c>
      <c r="R387">
        <f t="shared" si="82"/>
        <v>0</v>
      </c>
      <c r="S387">
        <f t="shared" si="89"/>
        <v>0</v>
      </c>
      <c r="T387">
        <f t="shared" si="88"/>
        <v>0</v>
      </c>
      <c r="U387">
        <f t="shared" si="80"/>
        <v>0</v>
      </c>
      <c r="V387">
        <f t="shared" si="90"/>
        <v>0</v>
      </c>
      <c r="W387">
        <f t="shared" si="81"/>
        <v>0</v>
      </c>
      <c r="X387" t="s">
        <v>769</v>
      </c>
      <c r="Y387" t="s">
        <v>659</v>
      </c>
      <c r="Z387" s="3" t="s">
        <v>64</v>
      </c>
      <c r="AA387" t="s">
        <v>727</v>
      </c>
      <c r="AB387">
        <v>19</v>
      </c>
      <c r="AC387" s="8" t="s">
        <v>1071</v>
      </c>
      <c r="AD387" s="8"/>
      <c r="AE387" s="8">
        <v>175</v>
      </c>
      <c r="AF387" s="8"/>
      <c r="AG387" s="8" t="s">
        <v>1035</v>
      </c>
      <c r="AH387" s="8" t="s">
        <v>1032</v>
      </c>
    </row>
    <row r="388" spans="1:35" x14ac:dyDescent="0.25">
      <c r="C388" t="s">
        <v>688</v>
      </c>
      <c r="D388" t="s">
        <v>12</v>
      </c>
      <c r="E388" t="s">
        <v>14</v>
      </c>
      <c r="F388">
        <v>2</v>
      </c>
      <c r="G388">
        <v>322.5</v>
      </c>
      <c r="H388">
        <v>583.4</v>
      </c>
      <c r="I388">
        <v>55.3</v>
      </c>
      <c r="L388">
        <f t="shared" si="83"/>
        <v>0</v>
      </c>
      <c r="M388">
        <f t="shared" si="91"/>
        <v>0</v>
      </c>
      <c r="N388">
        <f t="shared" si="84"/>
        <v>0</v>
      </c>
      <c r="O388">
        <f t="shared" si="85"/>
        <v>0</v>
      </c>
      <c r="P388">
        <f t="shared" si="86"/>
        <v>0</v>
      </c>
      <c r="Q388">
        <f t="shared" si="87"/>
        <v>0</v>
      </c>
      <c r="R388">
        <f t="shared" si="82"/>
        <v>0</v>
      </c>
      <c r="S388">
        <f t="shared" si="89"/>
        <v>0</v>
      </c>
      <c r="T388">
        <f t="shared" si="88"/>
        <v>0</v>
      </c>
      <c r="U388">
        <f t="shared" si="80"/>
        <v>0</v>
      </c>
      <c r="V388">
        <f t="shared" si="90"/>
        <v>0</v>
      </c>
      <c r="W388">
        <f t="shared" si="81"/>
        <v>0</v>
      </c>
      <c r="X388" t="s">
        <v>770</v>
      </c>
      <c r="Y388" t="s">
        <v>771</v>
      </c>
      <c r="Z388" s="3" t="s">
        <v>74</v>
      </c>
      <c r="AA388" t="s">
        <v>727</v>
      </c>
      <c r="AB388">
        <v>19</v>
      </c>
      <c r="AC388" s="8" t="s">
        <v>1071</v>
      </c>
      <c r="AD388" s="8"/>
      <c r="AE388" s="8">
        <v>175</v>
      </c>
      <c r="AF388" s="8"/>
      <c r="AG388" s="8" t="s">
        <v>1035</v>
      </c>
      <c r="AH388" s="8" t="s">
        <v>1032</v>
      </c>
    </row>
    <row r="389" spans="1:35" x14ac:dyDescent="0.25">
      <c r="C389" t="s">
        <v>431</v>
      </c>
      <c r="D389" t="s">
        <v>12</v>
      </c>
      <c r="E389" t="s">
        <v>14</v>
      </c>
      <c r="F389">
        <v>2</v>
      </c>
      <c r="G389">
        <v>324.5</v>
      </c>
      <c r="H389">
        <v>587.1</v>
      </c>
      <c r="I389">
        <v>55.3</v>
      </c>
      <c r="L389">
        <f t="shared" si="83"/>
        <v>0</v>
      </c>
      <c r="M389">
        <f t="shared" si="91"/>
        <v>0</v>
      </c>
      <c r="N389">
        <f t="shared" si="84"/>
        <v>0</v>
      </c>
      <c r="O389">
        <f t="shared" si="85"/>
        <v>0</v>
      </c>
      <c r="P389">
        <f t="shared" si="86"/>
        <v>0</v>
      </c>
      <c r="Q389">
        <f t="shared" si="87"/>
        <v>0</v>
      </c>
      <c r="R389">
        <f t="shared" si="82"/>
        <v>0</v>
      </c>
      <c r="S389">
        <f t="shared" si="89"/>
        <v>0</v>
      </c>
      <c r="T389">
        <f t="shared" si="88"/>
        <v>0</v>
      </c>
      <c r="U389">
        <f t="shared" si="80"/>
        <v>0</v>
      </c>
      <c r="V389">
        <f t="shared" si="90"/>
        <v>0</v>
      </c>
      <c r="W389">
        <f t="shared" si="81"/>
        <v>0</v>
      </c>
      <c r="X389" t="s">
        <v>772</v>
      </c>
      <c r="Y389" t="s">
        <v>771</v>
      </c>
      <c r="Z389" s="3" t="s">
        <v>537</v>
      </c>
      <c r="AA389" t="s">
        <v>727</v>
      </c>
      <c r="AB389">
        <v>19</v>
      </c>
      <c r="AC389" s="8" t="s">
        <v>1071</v>
      </c>
      <c r="AD389" s="8"/>
      <c r="AE389" s="8">
        <v>175</v>
      </c>
      <c r="AF389" s="8"/>
      <c r="AG389" s="8" t="s">
        <v>1035</v>
      </c>
      <c r="AH389" s="8" t="s">
        <v>1032</v>
      </c>
    </row>
    <row r="390" spans="1:35" x14ac:dyDescent="0.25">
      <c r="C390" t="s">
        <v>433</v>
      </c>
      <c r="D390" t="s">
        <v>12</v>
      </c>
      <c r="E390" t="s">
        <v>14</v>
      </c>
      <c r="F390">
        <v>2</v>
      </c>
      <c r="G390">
        <v>345</v>
      </c>
      <c r="H390">
        <v>626.4</v>
      </c>
      <c r="I390">
        <v>55.1</v>
      </c>
      <c r="L390">
        <f t="shared" si="83"/>
        <v>0</v>
      </c>
      <c r="M390">
        <f t="shared" si="91"/>
        <v>0</v>
      </c>
      <c r="N390">
        <f t="shared" si="84"/>
        <v>0</v>
      </c>
      <c r="O390">
        <f t="shared" si="85"/>
        <v>0</v>
      </c>
      <c r="P390">
        <f t="shared" si="86"/>
        <v>0</v>
      </c>
      <c r="Q390">
        <f t="shared" si="87"/>
        <v>0</v>
      </c>
      <c r="R390">
        <f t="shared" si="82"/>
        <v>0</v>
      </c>
      <c r="S390">
        <f t="shared" si="89"/>
        <v>0</v>
      </c>
      <c r="T390">
        <f t="shared" si="88"/>
        <v>0</v>
      </c>
      <c r="U390">
        <f t="shared" si="80"/>
        <v>0</v>
      </c>
      <c r="V390">
        <f t="shared" si="90"/>
        <v>0</v>
      </c>
      <c r="W390">
        <f t="shared" si="81"/>
        <v>0</v>
      </c>
      <c r="X390" t="s">
        <v>773</v>
      </c>
      <c r="Y390" t="s">
        <v>667</v>
      </c>
      <c r="Z390" s="3" t="s">
        <v>537</v>
      </c>
      <c r="AA390" t="s">
        <v>747</v>
      </c>
      <c r="AB390">
        <v>19</v>
      </c>
      <c r="AC390" s="8" t="s">
        <v>1071</v>
      </c>
      <c r="AD390" s="8"/>
      <c r="AE390" s="8">
        <v>175</v>
      </c>
      <c r="AF390" s="8"/>
      <c r="AG390" s="8" t="s">
        <v>1035</v>
      </c>
      <c r="AH390" s="8" t="s">
        <v>1032</v>
      </c>
    </row>
    <row r="391" spans="1:35" x14ac:dyDescent="0.25">
      <c r="C391" t="s">
        <v>436</v>
      </c>
      <c r="D391" t="s">
        <v>12</v>
      </c>
      <c r="E391" t="s">
        <v>14</v>
      </c>
      <c r="F391">
        <v>2</v>
      </c>
      <c r="G391">
        <v>309</v>
      </c>
      <c r="H391">
        <v>563.29999999999995</v>
      </c>
      <c r="I391">
        <v>54.9</v>
      </c>
      <c r="L391">
        <f t="shared" si="83"/>
        <v>0</v>
      </c>
      <c r="M391">
        <f t="shared" si="91"/>
        <v>0</v>
      </c>
      <c r="N391">
        <f t="shared" si="84"/>
        <v>0</v>
      </c>
      <c r="O391">
        <f t="shared" si="85"/>
        <v>0</v>
      </c>
      <c r="P391">
        <f t="shared" si="86"/>
        <v>0</v>
      </c>
      <c r="Q391">
        <f t="shared" si="87"/>
        <v>0</v>
      </c>
      <c r="R391">
        <f t="shared" si="82"/>
        <v>0</v>
      </c>
      <c r="S391">
        <f t="shared" si="89"/>
        <v>0</v>
      </c>
      <c r="T391">
        <f t="shared" si="88"/>
        <v>0</v>
      </c>
      <c r="U391">
        <f t="shared" si="80"/>
        <v>0</v>
      </c>
      <c r="V391">
        <f t="shared" si="90"/>
        <v>0</v>
      </c>
      <c r="W391">
        <f t="shared" si="81"/>
        <v>0</v>
      </c>
      <c r="X391" t="s">
        <v>774</v>
      </c>
      <c r="Y391" t="s">
        <v>673</v>
      </c>
      <c r="Z391" s="3" t="s">
        <v>83</v>
      </c>
      <c r="AA391" t="s">
        <v>747</v>
      </c>
      <c r="AB391">
        <v>19</v>
      </c>
      <c r="AC391" s="8" t="s">
        <v>1071</v>
      </c>
      <c r="AD391" s="8"/>
      <c r="AE391" s="8">
        <v>175</v>
      </c>
      <c r="AF391" s="8"/>
      <c r="AG391" s="8" t="s">
        <v>1035</v>
      </c>
      <c r="AH391" s="8" t="s">
        <v>1032</v>
      </c>
    </row>
    <row r="392" spans="1:35" x14ac:dyDescent="0.25">
      <c r="C392" t="s">
        <v>439</v>
      </c>
      <c r="D392" t="s">
        <v>12</v>
      </c>
      <c r="E392" t="s">
        <v>14</v>
      </c>
      <c r="F392">
        <v>2</v>
      </c>
      <c r="G392">
        <v>335.5</v>
      </c>
      <c r="H392">
        <v>599.79999999999995</v>
      </c>
      <c r="I392">
        <v>55.9</v>
      </c>
      <c r="L392">
        <f t="shared" si="83"/>
        <v>0</v>
      </c>
      <c r="M392">
        <f t="shared" si="91"/>
        <v>0</v>
      </c>
      <c r="N392">
        <f t="shared" si="84"/>
        <v>0</v>
      </c>
      <c r="O392">
        <f t="shared" si="85"/>
        <v>0</v>
      </c>
      <c r="P392">
        <f t="shared" si="86"/>
        <v>0</v>
      </c>
      <c r="Q392">
        <f t="shared" si="87"/>
        <v>0</v>
      </c>
      <c r="R392">
        <f t="shared" si="82"/>
        <v>0</v>
      </c>
      <c r="S392">
        <f t="shared" si="89"/>
        <v>0</v>
      </c>
      <c r="T392">
        <f t="shared" si="88"/>
        <v>0</v>
      </c>
      <c r="U392">
        <f t="shared" si="80"/>
        <v>0</v>
      </c>
      <c r="V392">
        <f t="shared" si="90"/>
        <v>0</v>
      </c>
      <c r="W392">
        <f t="shared" si="81"/>
        <v>0</v>
      </c>
      <c r="X392" t="s">
        <v>775</v>
      </c>
      <c r="Y392" t="s">
        <v>676</v>
      </c>
      <c r="Z392" s="3" t="s">
        <v>92</v>
      </c>
      <c r="AA392" t="s">
        <v>727</v>
      </c>
      <c r="AB392">
        <v>19</v>
      </c>
      <c r="AC392" s="8" t="s">
        <v>1071</v>
      </c>
      <c r="AD392" s="8"/>
      <c r="AE392" s="8">
        <v>175</v>
      </c>
      <c r="AF392" s="8"/>
      <c r="AG392" s="8" t="s">
        <v>1035</v>
      </c>
      <c r="AH392" s="8" t="s">
        <v>1032</v>
      </c>
    </row>
    <row r="393" spans="1:35" x14ac:dyDescent="0.25">
      <c r="C393" t="s">
        <v>442</v>
      </c>
      <c r="D393" t="s">
        <v>12</v>
      </c>
      <c r="E393" t="s">
        <v>14</v>
      </c>
      <c r="F393">
        <v>2</v>
      </c>
      <c r="G393">
        <v>352.5</v>
      </c>
      <c r="H393">
        <v>666.5</v>
      </c>
      <c r="I393">
        <v>52.9</v>
      </c>
      <c r="L393">
        <f t="shared" si="83"/>
        <v>0</v>
      </c>
      <c r="M393">
        <f t="shared" si="91"/>
        <v>0</v>
      </c>
      <c r="N393">
        <f t="shared" si="84"/>
        <v>0</v>
      </c>
      <c r="O393">
        <f t="shared" si="85"/>
        <v>0</v>
      </c>
      <c r="P393">
        <f t="shared" si="86"/>
        <v>0</v>
      </c>
      <c r="Q393">
        <f t="shared" si="87"/>
        <v>0</v>
      </c>
      <c r="R393">
        <f t="shared" si="82"/>
        <v>0</v>
      </c>
      <c r="S393">
        <f t="shared" si="89"/>
        <v>0</v>
      </c>
      <c r="T393">
        <f t="shared" si="88"/>
        <v>0</v>
      </c>
      <c r="U393">
        <f t="shared" si="80"/>
        <v>0</v>
      </c>
      <c r="V393">
        <f t="shared" si="90"/>
        <v>0</v>
      </c>
      <c r="W393">
        <f t="shared" si="81"/>
        <v>0</v>
      </c>
      <c r="X393" t="s">
        <v>776</v>
      </c>
      <c r="Y393" t="s">
        <v>682</v>
      </c>
      <c r="Z393" s="3" t="s">
        <v>96</v>
      </c>
      <c r="AA393" t="s">
        <v>755</v>
      </c>
      <c r="AB393">
        <v>19</v>
      </c>
      <c r="AC393" s="8" t="s">
        <v>1071</v>
      </c>
      <c r="AD393" s="8"/>
      <c r="AE393" s="8">
        <v>175</v>
      </c>
      <c r="AF393" s="8"/>
      <c r="AG393" s="8" t="s">
        <v>1035</v>
      </c>
      <c r="AH393" s="8" t="s">
        <v>1032</v>
      </c>
    </row>
    <row r="394" spans="1:35" x14ac:dyDescent="0.25">
      <c r="A394" s="2"/>
      <c r="B394" s="2"/>
      <c r="C394" s="2" t="s">
        <v>445</v>
      </c>
      <c r="D394" s="2" t="s">
        <v>12</v>
      </c>
      <c r="E394" s="2" t="s">
        <v>14</v>
      </c>
      <c r="F394" s="2">
        <v>2</v>
      </c>
      <c r="G394" s="2">
        <v>354.5</v>
      </c>
      <c r="H394" s="2">
        <v>648</v>
      </c>
      <c r="I394" s="2">
        <v>54.7</v>
      </c>
      <c r="J394" s="2"/>
      <c r="K394" s="2" t="s">
        <v>715</v>
      </c>
      <c r="L394" s="2">
        <f t="shared" si="83"/>
        <v>1</v>
      </c>
      <c r="M394" s="2">
        <f t="shared" si="91"/>
        <v>0</v>
      </c>
      <c r="N394" s="2">
        <f t="shared" si="84"/>
        <v>0</v>
      </c>
      <c r="O394" s="2">
        <f t="shared" si="85"/>
        <v>0</v>
      </c>
      <c r="P394" s="2">
        <f t="shared" si="86"/>
        <v>0</v>
      </c>
      <c r="Q394" s="2">
        <f t="shared" si="87"/>
        <v>0</v>
      </c>
      <c r="R394" s="2">
        <f t="shared" si="82"/>
        <v>1</v>
      </c>
      <c r="S394" s="2">
        <f t="shared" si="89"/>
        <v>0</v>
      </c>
      <c r="T394" s="2">
        <f t="shared" si="88"/>
        <v>0</v>
      </c>
      <c r="U394" s="2">
        <f t="shared" ref="U394" si="92">IF(K394="Pyogenic Lesions", 1, 0)</f>
        <v>0</v>
      </c>
      <c r="V394" s="2">
        <f t="shared" si="90"/>
        <v>0</v>
      </c>
      <c r="W394" s="2">
        <f t="shared" si="81"/>
        <v>0</v>
      </c>
      <c r="X394" s="2" t="s">
        <v>777</v>
      </c>
      <c r="Y394" s="2" t="s">
        <v>196</v>
      </c>
      <c r="Z394" s="6" t="s">
        <v>104</v>
      </c>
      <c r="AA394" s="2" t="s">
        <v>747</v>
      </c>
      <c r="AB394" s="2">
        <v>19</v>
      </c>
      <c r="AC394" s="9" t="s">
        <v>1071</v>
      </c>
      <c r="AD394" s="9"/>
      <c r="AE394" s="9">
        <v>175</v>
      </c>
      <c r="AF394" s="9"/>
      <c r="AG394" s="9" t="s">
        <v>1035</v>
      </c>
      <c r="AH394" s="9" t="s">
        <v>1032</v>
      </c>
      <c r="AI394" s="2"/>
    </row>
  </sheetData>
  <autoFilter ref="A1:I394" xr:uid="{85595963-F4E8-44C5-B446-996C49950C7D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88EAC-4A8C-44F4-B15D-06A7101AD6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Rapp</dc:creator>
  <cp:lastModifiedBy>Delphine Rapp</cp:lastModifiedBy>
  <dcterms:created xsi:type="dcterms:W3CDTF">2025-02-18T21:00:27Z</dcterms:created>
  <dcterms:modified xsi:type="dcterms:W3CDTF">2025-08-01T06:31:55Z</dcterms:modified>
</cp:coreProperties>
</file>